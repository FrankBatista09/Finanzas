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Ağustos 2026" sheetId="1" state="visible" r:id="rId3"/>
    <sheet name="Eylül 2026" sheetId="2" state="visible" r:id="rId4"/>
    <sheet name="Ekim 2026" sheetId="3" state="visible" r:id="rId5"/>
    <sheet name="Birikimler" sheetId="4" state="visible" r:id="rId6"/>
    <sheet name="Confi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<sst xmlns="http://schemas.openxmlformats.org/spreadsheetml/2006/main" count="552" uniqueCount="150">
  <si>
    <t xml:space="preserve">FE Finance</t>
  </si>
  <si>
    <t xml:space="preserve">Ağustos 2026</t>
  </si>
  <si>
    <t xml:space="preserve">Ay kuru</t>
  </si>
  <si>
    <t xml:space="preserve">Yeni ay: sayfada ayı kapatıp Excel'i indirin veya bu sayfayı çoğaltın (sekmeye sağ tıklayın → Taşı veya Kopyala → Kopya oluştur).</t>
  </si>
  <si>
    <t xml:space="preserve">Hesaplamalar</t>
  </si>
  <si>
    <t xml:space="preserve">TOPLAM PARA</t>
  </si>
  <si>
    <t xml:space="preserve">KULLANILAN BÜTÇE</t>
  </si>
  <si>
    <r>
      <rPr>
        <sz val="10"/>
        <color rgb="FF2B3A33"/>
        <rFont val="Segoe UI"/>
        <family val="0"/>
        <charset val="1"/>
      </rPr>
      <t xml:space="preserve">■  </t>
    </r>
    <r>
      <rPr>
        <sz val="10"/>
        <color rgb="FF1D1F1C"/>
        <rFont val="Segoe UI"/>
        <family val="0"/>
        <charset val="1"/>
      </rPr>
      <t xml:space="preserve">Ödenen sabitler</t>
    </r>
  </si>
  <si>
    <t xml:space="preserve">Planlanan bütçe</t>
  </si>
  <si>
    <t xml:space="preserve">ABD hesabı</t>
  </si>
  <si>
    <t xml:space="preserve">USD</t>
  </si>
  <si>
    <r>
      <rPr>
        <sz val="10"/>
        <color rgb="FF2F7D52"/>
        <rFont val="Segoe UI"/>
        <family val="0"/>
        <charset val="1"/>
      </rPr>
      <t xml:space="preserve">■  </t>
    </r>
    <r>
      <rPr>
        <sz val="10"/>
        <color rgb="FF1D1F1C"/>
        <rFont val="Segoe UI"/>
        <family val="0"/>
        <charset val="1"/>
      </rPr>
      <t xml:space="preserve">İşlemler</t>
    </r>
  </si>
  <si>
    <t xml:space="preserve">Bugüne kadar kullanılan</t>
  </si>
  <si>
    <t xml:space="preserve">DC hesabı</t>
  </si>
  <si>
    <t xml:space="preserve">DOP</t>
  </si>
  <si>
    <r>
      <rPr>
        <sz val="10"/>
        <color rgb="FFB7C4B7"/>
        <rFont val="Segoe UI"/>
        <family val="0"/>
        <charset val="1"/>
      </rPr>
      <t xml:space="preserve">■  </t>
    </r>
    <r>
      <rPr>
        <sz val="10"/>
        <color rgb="FF1D1F1C"/>
        <rFont val="Segoe UI"/>
        <family val="0"/>
        <charset val="1"/>
      </rPr>
      <t xml:space="preserve">Bekleyen sabitler</t>
    </r>
  </si>
  <si>
    <t xml:space="preserve">Kalan</t>
  </si>
  <si>
    <t xml:space="preserve">Ayın geliri</t>
  </si>
  <si>
    <r>
      <rPr>
        <sz val="10"/>
        <color rgb="FFDCDAD1"/>
        <rFont val="Segoe UI"/>
        <family val="0"/>
        <charset val="1"/>
      </rPr>
      <t xml:space="preserve">■  </t>
    </r>
    <r>
      <rPr>
        <sz val="10"/>
        <color rgb="FF1D1F1C"/>
        <rFont val="Segoe UI"/>
        <family val="0"/>
        <charset val="1"/>
      </rPr>
      <t xml:space="preserve">Serbest</t>
    </r>
  </si>
  <si>
    <t xml:space="preserve">Bekleyen sabitlerden sonra kalan</t>
  </si>
  <si>
    <t xml:space="preserve">Gelir − kullanılan</t>
  </si>
  <si>
    <t xml:space="preserve">USD olarak kullanılan</t>
  </si>
  <si>
    <t xml:space="preserve">Aylık giderler</t>
  </si>
  <si>
    <t xml:space="preserve">Kategoriye göre</t>
  </si>
  <si>
    <t xml:space="preserve">Ödendi</t>
  </si>
  <si>
    <t xml:space="preserve">Kalem</t>
  </si>
  <si>
    <t xml:space="preserve">Gün</t>
  </si>
  <si>
    <t xml:space="preserve">Tutar</t>
  </si>
  <si>
    <t xml:space="preserve">Para birimi</t>
  </si>
  <si>
    <t xml:space="preserve">Sabit giderler</t>
  </si>
  <si>
    <t xml:space="preserve">Evet</t>
  </si>
  <si>
    <t xml:space="preserve">Electricity</t>
  </si>
  <si>
    <t xml:space="preserve">Yemek</t>
  </si>
  <si>
    <t xml:space="preserve">Internet</t>
  </si>
  <si>
    <t xml:space="preserve">Market</t>
  </si>
  <si>
    <t xml:space="preserve">Health insurance</t>
  </si>
  <si>
    <t xml:space="preserve">Ulaşım</t>
  </si>
  <si>
    <t xml:space="preserve">Fridge payment</t>
  </si>
  <si>
    <t xml:space="preserve">Eğlence</t>
  </si>
  <si>
    <t xml:space="preserve">Claude</t>
  </si>
  <si>
    <t xml:space="preserve">Sağlık</t>
  </si>
  <si>
    <t xml:space="preserve">Google One</t>
  </si>
  <si>
    <t xml:space="preserve">Giyim</t>
  </si>
  <si>
    <t xml:space="preserve">iCloud+</t>
  </si>
  <si>
    <t xml:space="preserve">Ev</t>
  </si>
  <si>
    <t xml:space="preserve">Cluely</t>
  </si>
  <si>
    <t xml:space="preserve">Abonelikler</t>
  </si>
  <si>
    <t xml:space="preserve">Smartfit</t>
  </si>
  <si>
    <t xml:space="preserve">Eğitim</t>
  </si>
  <si>
    <t xml:space="preserve">Netflix</t>
  </si>
  <si>
    <t xml:space="preserve">Seyahat</t>
  </si>
  <si>
    <t xml:space="preserve">Unicaribe</t>
  </si>
  <si>
    <t xml:space="preserve">Transferler USD → DOP</t>
  </si>
  <si>
    <t xml:space="preserve">Tarih</t>
  </si>
  <si>
    <t xml:space="preserve">Kanal</t>
  </si>
  <si>
    <t xml:space="preserve">Kur</t>
  </si>
  <si>
    <t xml:space="preserve">Remitly</t>
  </si>
  <si>
    <t xml:space="preserve">PayPal</t>
  </si>
  <si>
    <t xml:space="preserve">İşlem geçmişi</t>
  </si>
  <si>
    <t xml:space="preserve">Açıklama</t>
  </si>
  <si>
    <t xml:space="preserve">Yer</t>
  </si>
  <si>
    <t xml:space="preserve">Kategori</t>
  </si>
  <si>
    <t xml:space="preserve">Yöntem</t>
  </si>
  <si>
    <t xml:space="preserve">Notlar</t>
  </si>
  <si>
    <t xml:space="preserve">Weekly groceries</t>
  </si>
  <si>
    <t xml:space="preserve">Supermercado Nacional</t>
  </si>
  <si>
    <t xml:space="preserve">Kart</t>
  </si>
  <si>
    <t xml:space="preserve">Uber</t>
  </si>
  <si>
    <t xml:space="preserve">Lunch</t>
  </si>
  <si>
    <t xml:space="preserve">Adrian Tropical</t>
  </si>
  <si>
    <t xml:space="preserve">Gas</t>
  </si>
  <si>
    <t xml:space="preserve">Texaco Churchill</t>
  </si>
  <si>
    <t xml:space="preserve">Concert</t>
  </si>
  <si>
    <t xml:space="preserve">Teatro Nacional</t>
  </si>
  <si>
    <t xml:space="preserve">Banka uygulaması</t>
  </si>
  <si>
    <t xml:space="preserve">Jumbo</t>
  </si>
  <si>
    <t xml:space="preserve">Shirts</t>
  </si>
  <si>
    <t xml:space="preserve">Zara Blue Mall</t>
  </si>
  <si>
    <t xml:space="preserve">Doctor visit</t>
  </si>
  <si>
    <t xml:space="preserve">Centro Médico</t>
  </si>
  <si>
    <t xml:space="preserve">Havale</t>
  </si>
  <si>
    <t xml:space="preserve">Insurance copay</t>
  </si>
  <si>
    <t xml:space="preserve">Dinner</t>
  </si>
  <si>
    <t xml:space="preserve">Lulú Tasting Bar</t>
  </si>
  <si>
    <t xml:space="preserve">Shell</t>
  </si>
  <si>
    <t xml:space="preserve">Eylül 2026</t>
  </si>
  <si>
    <t xml:space="preserve">Supermercado Bravo</t>
  </si>
  <si>
    <t xml:space="preserve">Accounting book</t>
  </si>
  <si>
    <t xml:space="preserve">Librería Cuesta</t>
  </si>
  <si>
    <t xml:space="preserve">El Conuco</t>
  </si>
  <si>
    <t xml:space="preserve">Texaco</t>
  </si>
  <si>
    <t xml:space="preserve">Movies</t>
  </si>
  <si>
    <t xml:space="preserve">Caribbean Cinemas</t>
  </si>
  <si>
    <t xml:space="preserve">Pharmacy</t>
  </si>
  <si>
    <t xml:space="preserve">Farmacia Carol</t>
  </si>
  <si>
    <t xml:space="preserve">Istanbul hotel booking</t>
  </si>
  <si>
    <t xml:space="preserve">Booking</t>
  </si>
  <si>
    <t xml:space="preserve">Deposit</t>
  </si>
  <si>
    <t xml:space="preserve">Ekim 2026</t>
  </si>
  <si>
    <t xml:space="preserve">Hayır</t>
  </si>
  <si>
    <t xml:space="preserve">Uber to work</t>
  </si>
  <si>
    <t xml:space="preserve">Coffee</t>
  </si>
  <si>
    <t xml:space="preserve">Starbucks Ágora</t>
  </si>
  <si>
    <t xml:space="preserve">Birikimler</t>
  </si>
  <si>
    <t xml:space="preserve">BU AY</t>
  </si>
  <si>
    <t xml:space="preserve">TOPLAM PARA (DOP)</t>
  </si>
  <si>
    <t xml:space="preserve">BÜTÇE</t>
  </si>
  <si>
    <t xml:space="preserve">KULLANILAN</t>
  </si>
  <si>
    <t xml:space="preserve">KALAN</t>
  </si>
  <si>
    <t xml:space="preserve">KUR</t>
  </si>
  <si>
    <t xml:space="preserve">Emergency fund</t>
  </si>
  <si>
    <t xml:space="preserve">Fondo de emergencia</t>
  </si>
  <si>
    <t xml:space="preserve">Trip to Turkey</t>
  </si>
  <si>
    <t xml:space="preserve">Değişken katkılar</t>
  </si>
  <si>
    <t xml:space="preserve">Aylık</t>
  </si>
  <si>
    <t xml:space="preserve">Başlangıç</t>
  </si>
  <si>
    <t xml:space="preserve">Bitiş</t>
  </si>
  <si>
    <t xml:space="preserve">Gifts</t>
  </si>
  <si>
    <t xml:space="preserve">Car</t>
  </si>
  <si>
    <t xml:space="preserve">Düğün &amp; balayı</t>
  </si>
  <si>
    <t xml:space="preserve">House</t>
  </si>
  <si>
    <t xml:space="preserve">Ahorro personal</t>
  </si>
  <si>
    <t xml:space="preserve">Aylara göre gelir</t>
  </si>
  <si>
    <t xml:space="preserve">Katkılar</t>
  </si>
  <si>
    <t xml:space="preserve">Ay</t>
  </si>
  <si>
    <t xml:space="preserve">Gelir USD</t>
  </si>
  <si>
    <t xml:space="preserve">Gelir DOP</t>
  </si>
  <si>
    <t xml:space="preserve">Biriken USD</t>
  </si>
  <si>
    <t xml:space="preserve">Birikim %</t>
  </si>
  <si>
    <t xml:space="preserve">Hedef</t>
  </si>
  <si>
    <t xml:space="preserve">Kasım 2026</t>
  </si>
  <si>
    <t xml:space="preserve">Aralık 2026</t>
  </si>
  <si>
    <t xml:space="preserve">Ocak 2027</t>
  </si>
  <si>
    <t xml:space="preserve">Şubat 2027</t>
  </si>
  <si>
    <t xml:space="preserve">Mart 2027</t>
  </si>
  <si>
    <t xml:space="preserve">Nisan 2027</t>
  </si>
  <si>
    <t xml:space="preserve">Sin tarjeta</t>
  </si>
  <si>
    <t xml:space="preserve">Mayıs 2027</t>
  </si>
  <si>
    <t xml:space="preserve">Haziran 2027</t>
  </si>
  <si>
    <t xml:space="preserve">Temmuz 2027</t>
  </si>
  <si>
    <t xml:space="preserve">Ağustos 2027</t>
  </si>
  <si>
    <t xml:space="preserve">Eylül 2027</t>
  </si>
  <si>
    <t xml:space="preserve">Ekim 2027</t>
  </si>
  <si>
    <t xml:space="preserve">Yapılandırma</t>
  </si>
  <si>
    <t xml:space="preserve">AYARLAR</t>
  </si>
  <si>
    <t xml:space="preserve">KATEGORİLER</t>
  </si>
  <si>
    <t xml:space="preserve">ÖDEME YÖNTEMLERİ</t>
  </si>
  <si>
    <t xml:space="preserve">BİRİKİM HEDEFLERİ</t>
  </si>
  <si>
    <t xml:space="preserve">Varsayılan kur (transfersiz ay)</t>
  </si>
  <si>
    <t xml:space="preserve">Bu ay (Birikimler'de gösterilir)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</si>
</sst>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&quot; DOP&quot;"/>
    <numFmt numFmtId="166" formatCode="&quot;≈ &quot;#,##0.00&quot; USD&quot;"/>
    <numFmt numFmtId="167" formatCode="#,##0"/>
    <numFmt numFmtId="168" formatCode="#,##0.00"/>
    <numFmt numFmtId="169" formatCode="dd/mm/yyyy"/>
    <numFmt numFmtId="170" formatCode="0.00"/>
    <numFmt numFmtId="171" formatCode="#,##0.00&quot; USD&quot;"/>
    <numFmt numFmtId="172" formatCode="&quot;≈ &quot;#,##0&quot; DOP&quot;"/>
    <numFmt numFmtId="173" formatCode="mm/yyyy"/>
    <numFmt numFmtId="174" formatCode="0.0%"/>
  </numFmts>
  <fonts count="39">
    <font>
      <sz val="10"/>
      <color rgb="FF1D1F1C"/>
      <name val="Segoe U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4F3EE"/>
      <name val="Segoe UI"/>
      <family val="2"/>
      <charset val="1"/>
    </font>
    <font>
      <sz val="11"/>
      <color rgb="FFA9ABA3"/>
      <name val="Segoe UI"/>
      <family val="2"/>
      <charset val="1"/>
    </font>
    <font>
      <sz val="9"/>
      <color rgb="FFA9ABA3"/>
      <name val="Segoe UI"/>
      <family val="2"/>
      <charset val="1"/>
    </font>
    <font>
      <sz val="10"/>
      <color rgb="FFF4F3EE"/>
      <name val="Consolas"/>
      <family val="2"/>
      <charset val="1"/>
    </font>
    <font>
      <i val="true"/>
      <sz val="8"/>
      <color rgb="FF6B6D66"/>
      <name val="Segoe UI"/>
      <family val="2"/>
      <charset val="1"/>
    </font>
    <font>
      <b val="true"/>
      <sz val="10"/>
      <color rgb="FF1D1F1C"/>
      <name val="Segoe UI"/>
      <family val="2"/>
      <charset val="1"/>
    </font>
    <font>
      <b val="true"/>
      <sz val="8"/>
      <color rgb="FF6B6D66"/>
      <name val="Segoe UI"/>
      <family val="2"/>
      <charset val="1"/>
    </font>
    <font>
      <b val="true"/>
      <sz val="18"/>
      <color rgb="FF1D1F1C"/>
      <name val="Consolas"/>
      <family val="2"/>
      <charset val="1"/>
    </font>
    <font>
      <sz val="9"/>
      <color rgb="FF6B6D66"/>
      <name val="Segoe UI"/>
      <family val="2"/>
      <charset val="1"/>
    </font>
    <font>
      <sz val="9.5"/>
      <color rgb="FF6B6D66"/>
      <name val="Consolas"/>
      <family val="2"/>
      <charset val="1"/>
    </font>
    <font>
      <sz val="10"/>
      <color rgb="FF2B3A33"/>
      <name val="Segoe UI"/>
      <family val="0"/>
      <charset val="1"/>
    </font>
    <font>
      <sz val="10"/>
      <color rgb="FF1D1F1C"/>
      <name val="Segoe UI"/>
      <family val="0"/>
      <charset val="1"/>
    </font>
    <font>
      <sz val="10"/>
      <color rgb="FF1D1F1C"/>
      <name val="Consolas"/>
      <family val="2"/>
      <charset val="1"/>
    </font>
    <font>
      <b val="true"/>
      <sz val="10"/>
      <color rgb="FF1D1F1C"/>
      <name val="Consolas"/>
      <family val="2"/>
      <charset val="1"/>
    </font>
    <font>
      <sz val="10"/>
      <color rgb="FF45473F"/>
      <name val="Segoe UI"/>
      <family val="2"/>
      <charset val="1"/>
    </font>
    <font>
      <sz val="8"/>
      <color rgb="FF6B6D66"/>
      <name val="Segoe UI"/>
      <family val="2"/>
      <charset val="1"/>
    </font>
    <font>
      <sz val="10"/>
      <color rgb="FF2F7D52"/>
      <name val="Segoe UI"/>
      <family val="0"/>
      <charset val="1"/>
    </font>
    <font>
      <sz val="10"/>
      <color rgb="FFB7C4B7"/>
      <name val="Segoe UI"/>
      <family val="0"/>
      <charset val="1"/>
    </font>
    <font>
      <b val="true"/>
      <sz val="10"/>
      <color rgb="FF23613F"/>
      <name val="Consolas"/>
      <family val="2"/>
      <charset val="1"/>
    </font>
    <font>
      <sz val="10"/>
      <color rgb="FFDCDAD1"/>
      <name val="Segoe UI"/>
      <family val="0"/>
      <charset val="1"/>
    </font>
    <font>
      <sz val="10"/>
      <color rgb="FF45473F"/>
      <name val="Consolas"/>
      <family val="2"/>
      <charset val="1"/>
    </font>
    <font>
      <b val="true"/>
      <sz val="12"/>
      <color rgb="FF1D1F1C"/>
      <name val="Segoe UI"/>
      <family val="2"/>
      <charset val="1"/>
    </font>
    <font>
      <sz val="6"/>
      <color rgb="FFFFFFFF"/>
      <name val="Segoe UI"/>
      <family val="2"/>
      <charset val="1"/>
    </font>
    <font>
      <sz val="9.5"/>
      <color rgb="FF45473F"/>
      <name val="Consolas"/>
      <family val="2"/>
      <charset val="1"/>
    </font>
    <font>
      <sz val="10"/>
      <color rgb="FF6B6D66"/>
      <name val="Consolas"/>
      <family val="2"/>
      <charset val="1"/>
    </font>
    <font>
      <b val="true"/>
      <sz val="7"/>
      <color rgb="FF6B6D66"/>
      <name val="Segoe UI"/>
      <family val="0"/>
    </font>
    <font>
      <b val="true"/>
      <sz val="15"/>
      <color rgb="FF1D1F1C"/>
      <name val="Consolas"/>
      <family val="0"/>
    </font>
    <font>
      <b val="true"/>
      <sz val="11"/>
      <color rgb="FF1D1F1C"/>
      <name val="Segoe UI"/>
      <family val="2"/>
      <charset val="1"/>
    </font>
    <font>
      <b val="true"/>
      <sz val="11"/>
      <color rgb="FF1D1F1C"/>
      <name val="Consolas"/>
      <family val="2"/>
      <charset val="1"/>
    </font>
    <font>
      <sz val="11"/>
      <color rgb="FF1D1F1C"/>
      <name val="Consolas"/>
      <family val="2"/>
      <charset val="1"/>
    </font>
    <font>
      <b val="true"/>
      <sz val="11"/>
      <color rgb="FF23613F"/>
      <name val="Consolas"/>
      <family val="2"/>
      <charset val="1"/>
    </font>
    <font>
      <b val="true"/>
      <sz val="16"/>
      <color rgb="FF1D1F1C"/>
      <name val="Consolas"/>
      <family val="2"/>
      <charset val="1"/>
    </font>
    <font>
      <sz val="9"/>
      <color rgb="FF6B6D66"/>
      <name val="Consolas"/>
      <family val="2"/>
      <charset val="1"/>
    </font>
    <font>
      <sz val="9"/>
      <color rgb="FF45473F"/>
      <name val="Segoe UI"/>
      <family val="2"/>
      <charset val="1"/>
    </font>
    <font>
      <sz val="10"/>
      <color rgb="FF23613F"/>
      <name val="Consola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FEEE8"/>
        <bgColor rgb="FFF1EFE9"/>
      </patternFill>
    </fill>
    <fill>
      <patternFill patternType="solid">
        <fgColor rgb="FF1D1F1C"/>
        <bgColor rgb="FF2B3A33"/>
      </patternFill>
    </fill>
    <fill>
      <patternFill patternType="solid">
        <fgColor rgb="FFFFFFFF"/>
        <bgColor rgb="FFF6F5F0"/>
      </patternFill>
    </fill>
    <fill>
      <patternFill patternType="solid">
        <fgColor rgb="FFF6F5F0"/>
        <bgColor rgb="FFF4F3EE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E3E1D8"/>
      </left>
      <right/>
      <top style="thin">
        <color rgb="FFE3E1D8"/>
      </top>
      <bottom/>
      <diagonal/>
    </border>
    <border diagonalUp="false" diagonalDown="false">
      <left/>
      <right/>
      <top style="thin">
        <color rgb="FFE3E1D8"/>
      </top>
      <bottom/>
      <diagonal/>
    </border>
    <border diagonalUp="false" diagonalDown="false">
      <left/>
      <right style="thin">
        <color rgb="FFE3E1D8"/>
      </right>
      <top style="thin">
        <color rgb="FFE3E1D8"/>
      </top>
      <bottom/>
      <diagonal/>
    </border>
    <border diagonalUp="false" diagonalDown="false">
      <left style="thin">
        <color rgb="FFE3E1D8"/>
      </left>
      <right style="thin">
        <color rgb="FFE3E1D8"/>
      </right>
      <top/>
      <bottom/>
      <diagonal/>
    </border>
    <border diagonalUp="false" diagonalDown="false">
      <left style="thin">
        <color rgb="FFE3E1D8"/>
      </left>
      <right/>
      <top/>
      <bottom/>
      <diagonal/>
    </border>
    <border diagonalUp="false" diagonalDown="false">
      <left/>
      <right style="thin">
        <color rgb="FFE3E1D8"/>
      </right>
      <top/>
      <bottom/>
      <diagonal/>
    </border>
    <border diagonalUp="false" diagonalDown="false">
      <left style="thin">
        <color rgb="FFE3E1D8"/>
      </left>
      <right/>
      <top/>
      <bottom style="thin">
        <color rgb="FFEEECE5"/>
      </bottom>
      <diagonal/>
    </border>
    <border diagonalUp="false" diagonalDown="false">
      <left/>
      <right/>
      <top/>
      <bottom style="thin">
        <color rgb="FFEEECE5"/>
      </bottom>
      <diagonal/>
    </border>
    <border diagonalUp="false" diagonalDown="false">
      <left/>
      <right style="thin">
        <color rgb="FFE3E1D8"/>
      </right>
      <top/>
      <bottom style="thin">
        <color rgb="FFEEECE5"/>
      </bottom>
      <diagonal/>
    </border>
    <border diagonalUp="false" diagonalDown="false">
      <left style="thin">
        <color rgb="FFE3E1D8"/>
      </left>
      <right/>
      <top/>
      <bottom style="thin">
        <color rgb="FFE3E1D8"/>
      </bottom>
      <diagonal/>
    </border>
    <border diagonalUp="false" diagonalDown="false">
      <left/>
      <right/>
      <top/>
      <bottom style="thin">
        <color rgb="FFE3E1D8"/>
      </bottom>
      <diagonal/>
    </border>
    <border diagonalUp="false" diagonalDown="false">
      <left/>
      <right style="thin">
        <color rgb="FFE3E1D8"/>
      </right>
      <top/>
      <bottom style="thin">
        <color rgb="FFE3E1D8"/>
      </bottom>
      <diagonal/>
    </border>
    <border diagonalUp="false" diagonalDown="false">
      <left style="thin">
        <color rgb="FFE3E1D8"/>
      </left>
      <right style="thin">
        <color rgb="FFEBE9E2"/>
      </right>
      <top style="thin">
        <color rgb="FFE3E1D8"/>
      </top>
      <bottom style="thin">
        <color rgb="FFE3E1D8"/>
      </bottom>
      <diagonal/>
    </border>
    <border diagonalUp="false" diagonalDown="false">
      <left/>
      <right style="thin">
        <color rgb="FFEBE9E2"/>
      </right>
      <top style="thin">
        <color rgb="FFE3E1D8"/>
      </top>
      <bottom style="thin">
        <color rgb="FFE3E1D8"/>
      </bottom>
      <diagonal/>
    </border>
    <border diagonalUp="false" diagonalDown="false">
      <left style="thin">
        <color rgb="FFE3E1D8"/>
      </left>
      <right style="thin">
        <color rgb="FFF1EFE9"/>
      </right>
      <top/>
      <bottom style="thin">
        <color rgb="FFEEECE5"/>
      </bottom>
      <diagonal/>
    </border>
    <border diagonalUp="false" diagonalDown="false">
      <left/>
      <right style="thin">
        <color rgb="FFF1EFE9"/>
      </right>
      <top/>
      <bottom style="thin">
        <color rgb="FFEEEC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7" fillId="5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5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4" borderId="9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7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2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4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8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4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6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4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2" fillId="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3" fillId="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4" fillId="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33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5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5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6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6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5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5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5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8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8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6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F6F5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5473F"/>
          <bgColor rgb="FF000000"/>
        </patternFill>
      </fill>
    </dxf>
    <dxf>
      <fill>
        <patternFill patternType="solid">
          <fgColor rgb="FF6B6D66"/>
          <bgColor rgb="FF000000"/>
        </patternFill>
      </fill>
    </dxf>
    <dxf>
      <fill>
        <patternFill patternType="solid">
          <fgColor rgb="FF1D1F1C"/>
          <bgColor rgb="FF000000"/>
        </patternFill>
      </fill>
    </dxf>
    <dxf>
      <fill>
        <patternFill patternType="solid">
          <fgColor rgb="FFE6F0E9"/>
          <bgColor rgb="FF000000"/>
        </patternFill>
      </fill>
    </dxf>
    <dxf>
      <fill>
        <patternFill patternType="solid">
          <fgColor rgb="FF23613F"/>
          <bgColor rgb="FF000000"/>
        </patternFill>
      </fill>
    </dxf>
    <dxf>
      <font>
        <b val="1"/>
        <color rgb="FFB23A2A"/>
      </font>
    </dxf>
    <dxf>
      <font>
        <b val="1"/>
        <color rgb="FF23613F"/>
      </font>
      <fill>
        <patternFill>
          <bgColor rgb="FFE6F0E9"/>
        </patternFill>
      </fill>
    </dxf>
    <dxf>
      <font>
        <color rgb="FF9A9C94"/>
      </font>
    </dxf>
    <dxf>
      <fill>
        <patternFill patternType="solid">
          <fgColor rgb="FF9A9C9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4F3EE"/>
      <rgbColor rgb="FFFF00FF"/>
      <rgbColor rgb="FF00FFFF"/>
      <rgbColor rgb="FF800000"/>
      <rgbColor rgb="FF23613F"/>
      <rgbColor rgb="FF000080"/>
      <rgbColor rgb="FF808000"/>
      <rgbColor rgb="FF800080"/>
      <rgbColor rgb="FF008080"/>
      <rgbColor rgb="FFB7C4B7"/>
      <rgbColor rgb="FF808080"/>
      <rgbColor rgb="FFA9ABA3"/>
      <rgbColor rgb="FF993366"/>
      <rgbColor rgb="FFF6F5F0"/>
      <rgbColor rgb="FFE6F0E9"/>
      <rgbColor rgb="FF660066"/>
      <rgbColor rgb="FFFF8080"/>
      <rgbColor rgb="FF0066CC"/>
      <rgbColor rgb="FFC9D3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EE8"/>
      <rgbColor rgb="FFEBE9E1"/>
      <rgbColor rgb="FFF1EFE9"/>
      <rgbColor rgb="FFE3E1D8"/>
      <rgbColor rgb="FFEBE9E2"/>
      <rgbColor rgb="FFEEECE5"/>
      <rgbColor rgb="FFDCDAD1"/>
      <rgbColor rgb="FF3366FF"/>
      <rgbColor rgb="FF33CCCC"/>
      <rgbColor rgb="FF99CC00"/>
      <rgbColor rgb="FFFFCC00"/>
      <rgbColor rgb="FFFF9900"/>
      <rgbColor rgb="FFFF6600"/>
      <rgbColor rgb="FF6B6D66"/>
      <rgbColor rgb="FF9A9C94"/>
      <rgbColor rgb="FF003366"/>
      <rgbColor rgb="FF2F7D52"/>
      <rgbColor rgb="FF003300"/>
      <rgbColor rgb="FF1D1F1C"/>
      <rgbColor rgb="FFB23A2A"/>
      <rgbColor rgb="FF993366"/>
      <rgbColor rgb="FF45473F"/>
      <rgbColor rgb="FF2B3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299309286262471"/>
          <c:y val="0.0300809872734285"/>
          <c:w val="0.939754412893323"/>
          <c:h val="0.939838025453143"/>
        </c:manualLayout>
      </c:layout>
      <c:doughnutChart>
        <c:varyColors val="1"/>
        <c:ser>
          <c:idx val="0"/>
          <c:order val="0"/>
          <c:tx>
            <c:strRef>
              <c:f>"Bütçe"</c:f>
              <c:strCache>
                <c:ptCount val="1"/>
                <c:pt idx="0">
                  <c:v>Bütçe</c:v>
                </c:pt>
              </c:strCache>
            </c:strRef>
          </c:tx>
          <c:spPr>
            <a:noFill/>
            <a:ln w="0">
              <a:noFill/>
            </a:ln>
          </c:spPr>
          <c:explosion val="0"/>
          <c:dPt>
            <c:idx val="0"/>
            <c:spPr>
              <a:solidFill>
                <a:srgbClr val="2B3A3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F7D5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9D3C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BE9E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val>
            <c:numRef>
              <c:f>'Ağustos 2026'!$T$4:$T$7</c:f>
              <c:numCache>
                <c:formatCode>General</c:formatCode>
                <c:ptCount val="4"/>
                <c:pt idx="0">
                  <c:v>41917.6933333333</c:v>
                </c:pt>
                <c:pt idx="1">
                  <c:v>27850</c:v>
                </c:pt>
                <c:pt idx="2">
                  <c:v>0</c:v>
                </c:pt>
                <c:pt idx="3">
                  <c:v>232.306666666664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noFill/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299309286262471"/>
          <c:y val="0.0300809872734285"/>
          <c:w val="0.939754412893323"/>
          <c:h val="0.939838025453143"/>
        </c:manualLayout>
      </c:layout>
      <c:doughnutChart>
        <c:varyColors val="1"/>
        <c:ser>
          <c:idx val="0"/>
          <c:order val="0"/>
          <c:tx>
            <c:strRef>
              <c:f>"Bütçe"</c:f>
              <c:strCache>
                <c:ptCount val="1"/>
                <c:pt idx="0">
                  <c:v>Bütçe</c:v>
                </c:pt>
              </c:strCache>
            </c:strRef>
          </c:tx>
          <c:spPr>
            <a:noFill/>
            <a:ln w="0">
              <a:noFill/>
            </a:ln>
          </c:spPr>
          <c:explosion val="0"/>
          <c:dPt>
            <c:idx val="0"/>
            <c:spPr>
              <a:solidFill>
                <a:srgbClr val="2B3A3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F7D5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9D3C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BE9E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val>
            <c:numRef>
              <c:f>'Eylül 2026'!$T$4:$T$7</c:f>
              <c:numCache>
                <c:formatCode>General</c:formatCode>
                <c:ptCount val="4"/>
                <c:pt idx="0">
                  <c:v>42081.5408695652</c:v>
                </c:pt>
                <c:pt idx="1">
                  <c:v>24555</c:v>
                </c:pt>
                <c:pt idx="2">
                  <c:v>0</c:v>
                </c:pt>
                <c:pt idx="3">
                  <c:v>3363.45913043479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noFill/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299309286262471"/>
          <c:y val="0.0300809872734285"/>
          <c:w val="0.939754412893323"/>
          <c:h val="0.939838025453143"/>
        </c:manualLayout>
      </c:layout>
      <c:doughnutChart>
        <c:varyColors val="1"/>
        <c:ser>
          <c:idx val="0"/>
          <c:order val="0"/>
          <c:tx>
            <c:strRef>
              <c:f>"Bütçe"</c:f>
              <c:strCache>
                <c:ptCount val="1"/>
                <c:pt idx="0">
                  <c:v>Bütçe</c:v>
                </c:pt>
              </c:strCache>
            </c:strRef>
          </c:tx>
          <c:spPr>
            <a:noFill/>
            <a:ln w="0">
              <a:noFill/>
            </a:ln>
          </c:spPr>
          <c:explosion val="0"/>
          <c:dPt>
            <c:idx val="0"/>
            <c:spPr>
              <a:solidFill>
                <a:srgbClr val="2B3A3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F7D5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9D3C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BE9E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val>
            <c:numRef>
              <c:f>'Ekim 2026'!$T$4:$T$7</c:f>
              <c:numCache>
                <c:formatCode>General</c:formatCode>
                <c:ptCount val="4"/>
                <c:pt idx="0">
                  <c:v>38304.71</c:v>
                </c:pt>
                <c:pt idx="1">
                  <c:v>10845</c:v>
                </c:pt>
                <c:pt idx="2">
                  <c:v>3720.86</c:v>
                </c:pt>
                <c:pt idx="3">
                  <c:v>17129.43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noFill/>
    <a:ln w="936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81000</xdr:colOff>
      <xdr:row>3</xdr:row>
      <xdr:rowOff>108000</xdr:rowOff>
    </xdr:from>
    <xdr:to>
      <xdr:col>5</xdr:col>
      <xdr:colOff>899640</xdr:colOff>
      <xdr:row>11</xdr:row>
      <xdr:rowOff>18720</xdr:rowOff>
    </xdr:to>
    <xdr:graphicFrame>
      <xdr:nvGraphicFramePr>
        <xdr:cNvPr id="1" name="Bütçe halkası"/>
        <xdr:cNvGraphicFramePr/>
      </xdr:nvGraphicFramePr>
      <xdr:xfrm>
        <a:off x="4028040" y="717480"/>
        <a:ext cx="1875960" cy="186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442800</xdr:colOff>
      <xdr:row>5</xdr:row>
      <xdr:rowOff>171360</xdr:rowOff>
    </xdr:from>
    <xdr:to>
      <xdr:col>5</xdr:col>
      <xdr:colOff>537840</xdr:colOff>
      <xdr:row>6</xdr:row>
      <xdr:rowOff>75600</xdr:rowOff>
    </xdr:to>
    <xdr:sp>
      <xdr:nvSpPr>
        <xdr:cNvPr id="2" name="Merkez 4"/>
        <xdr:cNvSpPr/>
      </xdr:nvSpPr>
      <xdr:spPr>
        <a:xfrm>
          <a:off x="4389840" y="1365120"/>
          <a:ext cx="1152360" cy="132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overflow" lIns="0" tIns="0" rIns="0" bIns="0" anchor="ctr">
          <a:noAutofit/>
        </a:bodyPr>
        <a:p>
          <a:pPr algn="ctr">
            <a:lnSpc>
              <a:spcPct val="100000"/>
            </a:lnSpc>
          </a:pPr>
          <a:r>
            <a:rPr lang="tr-TR" sz="700" b="1" u="none" strike="noStrike">
              <a:solidFill>
                <a:srgbClr val="6B6D66"/>
              </a:solidFill>
              <a:effectLst/>
              <a:uFillTx/>
              <a:latin typeface="Segoe UI"/>
            </a:rPr>
            <a:t>KULLANILAN</a:t>
          </a:r>
          <a:endParaRPr lang="en-US" sz="7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347760</xdr:colOff>
      <xdr:row>6</xdr:row>
      <xdr:rowOff>85680</xdr:rowOff>
    </xdr:from>
    <xdr:to>
      <xdr:col>5</xdr:col>
      <xdr:colOff>633240</xdr:colOff>
      <xdr:row>7</xdr:row>
      <xdr:rowOff>186840</xdr:rowOff>
    </xdr:to>
    <xdr:sp textlink="$T$9">
      <xdr:nvSpPr>
        <xdr:cNvPr id="3" name="Merkez 5"/>
        <xdr:cNvSpPr/>
      </xdr:nvSpPr>
      <xdr:spPr>
        <a:xfrm>
          <a:off x="4294800" y="1508040"/>
          <a:ext cx="1342800" cy="228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overflow" lIns="0" tIns="0" rIns="0" bIns="0" anchor="ctr">
          <a:noAutofit/>
        </a:bodyPr>
        <a:p>
          <a:pPr algn="ctr">
            <a:lnSpc>
              <a:spcPct val="100000"/>
            </a:lnSpc>
          </a:pPr>
          <a:r>
            <a:rPr lang="tr-TR" sz="1500" b="1" u="none" strike="noStrike">
              <a:solidFill>
                <a:srgbClr val="1D1F1C"/>
              </a:solidFill>
              <a:effectLst/>
              <a:uFillTx/>
              <a:latin typeface="Consolas"/>
            </a:rPr>
            <a:t>0</a:t>
          </a:r>
          <a:endParaRPr lang="en-US" sz="15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347760</xdr:colOff>
      <xdr:row>7</xdr:row>
      <xdr:rowOff>196920</xdr:rowOff>
    </xdr:from>
    <xdr:to>
      <xdr:col>5</xdr:col>
      <xdr:colOff>633240</xdr:colOff>
      <xdr:row>8</xdr:row>
      <xdr:rowOff>95040</xdr:rowOff>
    </xdr:to>
    <xdr:sp textlink="$T$10">
      <xdr:nvSpPr>
        <xdr:cNvPr id="4" name="Merkez 6"/>
        <xdr:cNvSpPr/>
      </xdr:nvSpPr>
      <xdr:spPr>
        <a:xfrm>
          <a:off x="4294800" y="1746360"/>
          <a:ext cx="1342800" cy="151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81000</xdr:colOff>
      <xdr:row>3</xdr:row>
      <xdr:rowOff>108000</xdr:rowOff>
    </xdr:from>
    <xdr:to>
      <xdr:col>5</xdr:col>
      <xdr:colOff>899640</xdr:colOff>
      <xdr:row>11</xdr:row>
      <xdr:rowOff>18720</xdr:rowOff>
    </xdr:to>
    <xdr:graphicFrame>
      <xdr:nvGraphicFramePr>
        <xdr:cNvPr id="5" name="Bütçe halkası"/>
        <xdr:cNvGraphicFramePr/>
      </xdr:nvGraphicFramePr>
      <xdr:xfrm>
        <a:off x="4028040" y="717480"/>
        <a:ext cx="1875960" cy="186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442800</xdr:colOff>
      <xdr:row>5</xdr:row>
      <xdr:rowOff>171360</xdr:rowOff>
    </xdr:from>
    <xdr:to>
      <xdr:col>5</xdr:col>
      <xdr:colOff>537840</xdr:colOff>
      <xdr:row>6</xdr:row>
      <xdr:rowOff>75600</xdr:rowOff>
    </xdr:to>
    <xdr:sp>
      <xdr:nvSpPr>
        <xdr:cNvPr id="6" name="Merkez 4"/>
        <xdr:cNvSpPr/>
      </xdr:nvSpPr>
      <xdr:spPr>
        <a:xfrm>
          <a:off x="4389840" y="1365120"/>
          <a:ext cx="1152360" cy="132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overflow" lIns="0" tIns="0" rIns="0" bIns="0" anchor="ctr">
          <a:noAutofit/>
        </a:bodyPr>
        <a:p>
          <a:pPr algn="ctr">
            <a:lnSpc>
              <a:spcPct val="100000"/>
            </a:lnSpc>
          </a:pPr>
          <a:r>
            <a:rPr lang="tr-TR" sz="700" b="1" u="none" strike="noStrike">
              <a:solidFill>
                <a:srgbClr val="6B6D66"/>
              </a:solidFill>
              <a:effectLst/>
              <a:uFillTx/>
              <a:latin typeface="Segoe UI"/>
            </a:rPr>
            <a:t>KULLANILAN</a:t>
          </a:r>
          <a:endParaRPr lang="en-US" sz="7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347760</xdr:colOff>
      <xdr:row>6</xdr:row>
      <xdr:rowOff>85680</xdr:rowOff>
    </xdr:from>
    <xdr:to>
      <xdr:col>5</xdr:col>
      <xdr:colOff>633240</xdr:colOff>
      <xdr:row>7</xdr:row>
      <xdr:rowOff>186840</xdr:rowOff>
    </xdr:to>
    <xdr:sp textlink="$T$9">
      <xdr:nvSpPr>
        <xdr:cNvPr id="7" name="Merkez 5"/>
        <xdr:cNvSpPr/>
      </xdr:nvSpPr>
      <xdr:spPr>
        <a:xfrm>
          <a:off x="4294800" y="1508040"/>
          <a:ext cx="1342800" cy="228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overflow" lIns="0" tIns="0" rIns="0" bIns="0" anchor="ctr">
          <a:noAutofit/>
        </a:bodyPr>
        <a:p>
          <a:pPr algn="ctr">
            <a:lnSpc>
              <a:spcPct val="100000"/>
            </a:lnSpc>
          </a:pPr>
          <a:r>
            <a:rPr lang="tr-TR" sz="1500" b="1" u="none" strike="noStrike">
              <a:solidFill>
                <a:srgbClr val="1D1F1C"/>
              </a:solidFill>
              <a:effectLst/>
              <a:uFillTx/>
              <a:latin typeface="Consolas"/>
            </a:rPr>
            <a:t>0</a:t>
          </a:r>
          <a:endParaRPr lang="en-US" sz="15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347760</xdr:colOff>
      <xdr:row>7</xdr:row>
      <xdr:rowOff>196920</xdr:rowOff>
    </xdr:from>
    <xdr:to>
      <xdr:col>5</xdr:col>
      <xdr:colOff>633240</xdr:colOff>
      <xdr:row>8</xdr:row>
      <xdr:rowOff>95040</xdr:rowOff>
    </xdr:to>
    <xdr:sp textlink="$T$10">
      <xdr:nvSpPr>
        <xdr:cNvPr id="8" name="Merkez 6"/>
        <xdr:cNvSpPr/>
      </xdr:nvSpPr>
      <xdr:spPr>
        <a:xfrm>
          <a:off x="4294800" y="1746360"/>
          <a:ext cx="1342800" cy="151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81000</xdr:colOff>
      <xdr:row>3</xdr:row>
      <xdr:rowOff>108000</xdr:rowOff>
    </xdr:from>
    <xdr:to>
      <xdr:col>5</xdr:col>
      <xdr:colOff>899640</xdr:colOff>
      <xdr:row>11</xdr:row>
      <xdr:rowOff>18720</xdr:rowOff>
    </xdr:to>
    <xdr:graphicFrame>
      <xdr:nvGraphicFramePr>
        <xdr:cNvPr id="9" name="Bütçe halkası"/>
        <xdr:cNvGraphicFramePr/>
      </xdr:nvGraphicFramePr>
      <xdr:xfrm>
        <a:off x="4028040" y="717480"/>
        <a:ext cx="1875960" cy="186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442800</xdr:colOff>
      <xdr:row>5</xdr:row>
      <xdr:rowOff>171360</xdr:rowOff>
    </xdr:from>
    <xdr:to>
      <xdr:col>5</xdr:col>
      <xdr:colOff>537840</xdr:colOff>
      <xdr:row>6</xdr:row>
      <xdr:rowOff>75600</xdr:rowOff>
    </xdr:to>
    <xdr:sp>
      <xdr:nvSpPr>
        <xdr:cNvPr id="10" name="Merkez 4"/>
        <xdr:cNvSpPr/>
      </xdr:nvSpPr>
      <xdr:spPr>
        <a:xfrm>
          <a:off x="4389840" y="1365120"/>
          <a:ext cx="1152360" cy="132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overflow" lIns="0" tIns="0" rIns="0" bIns="0" anchor="ctr">
          <a:noAutofit/>
        </a:bodyPr>
        <a:p>
          <a:pPr algn="ctr">
            <a:lnSpc>
              <a:spcPct val="100000"/>
            </a:lnSpc>
          </a:pPr>
          <a:r>
            <a:rPr lang="tr-TR" sz="700" b="1" u="none" strike="noStrike">
              <a:solidFill>
                <a:srgbClr val="6B6D66"/>
              </a:solidFill>
              <a:effectLst/>
              <a:uFillTx/>
              <a:latin typeface="Segoe UI"/>
            </a:rPr>
            <a:t>KULLANILAN</a:t>
          </a:r>
          <a:endParaRPr lang="en-US" sz="7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347760</xdr:colOff>
      <xdr:row>6</xdr:row>
      <xdr:rowOff>85680</xdr:rowOff>
    </xdr:from>
    <xdr:to>
      <xdr:col>5</xdr:col>
      <xdr:colOff>633240</xdr:colOff>
      <xdr:row>7</xdr:row>
      <xdr:rowOff>186840</xdr:rowOff>
    </xdr:to>
    <xdr:sp textlink="$T$9">
      <xdr:nvSpPr>
        <xdr:cNvPr id="11" name="Merkez 5"/>
        <xdr:cNvSpPr/>
      </xdr:nvSpPr>
      <xdr:spPr>
        <a:xfrm>
          <a:off x="4294800" y="1508040"/>
          <a:ext cx="1342800" cy="228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overflow" lIns="0" tIns="0" rIns="0" bIns="0" anchor="ctr">
          <a:noAutofit/>
        </a:bodyPr>
        <a:p>
          <a:pPr algn="ctr">
            <a:lnSpc>
              <a:spcPct val="100000"/>
            </a:lnSpc>
          </a:pPr>
          <a:r>
            <a:rPr lang="tr-TR" sz="1500" b="1" u="none" strike="noStrike">
              <a:solidFill>
                <a:srgbClr val="1D1F1C"/>
              </a:solidFill>
              <a:effectLst/>
              <a:uFillTx/>
              <a:latin typeface="Consolas"/>
            </a:rPr>
            <a:t>0</a:t>
          </a:r>
          <a:endParaRPr lang="en-US" sz="15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347760</xdr:colOff>
      <xdr:row>7</xdr:row>
      <xdr:rowOff>196920</xdr:rowOff>
    </xdr:from>
    <xdr:to>
      <xdr:col>5</xdr:col>
      <xdr:colOff>633240</xdr:colOff>
      <xdr:row>8</xdr:row>
      <xdr:rowOff>95040</xdr:rowOff>
    </xdr:to>
    <xdr:sp textlink="$T$10">
      <xdr:nvSpPr>
        <xdr:cNvPr id="12" name="Merkez 6"/>
        <xdr:cNvSpPr/>
      </xdr:nvSpPr>
      <xdr:spPr>
        <a:xfrm>
          <a:off x="4294800" y="1746360"/>
          <a:ext cx="1342800" cy="151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ables/table1.xml><?xml version="1.0" encoding="utf-8"?>
<table xmlns="http://schemas.openxmlformats.org/spreadsheetml/2006/main" id="1" name="Islem_2026_08" displayName="Islem_2026_08" ref="B38:K60" headerRowCount="1" totalsRowCount="0" totalsRowShown="0">
  <tableColumns count="10">
    <tableColumn id="1" name="Tarih"/>
    <tableColumn id="2" name="Açıklama"/>
    <tableColumn id="3" name="Yer"/>
    <tableColumn id="4" name="Kategori"/>
    <tableColumn id="5" name="Yöntem"/>
    <tableColumn id="6" name="Tutar"/>
    <tableColumn id="7" name="Para birimi"/>
    <tableColumn id="8" name="DOP"/>
    <tableColumn id="9" name="USD"/>
    <tableColumn id="10" name="Notlar"/>
  </tableColumns>
</table>
</file>

<file path=xl/tables/table2.xml><?xml version="1.0" encoding="utf-8"?>
<table xmlns="http://schemas.openxmlformats.org/spreadsheetml/2006/main" id="2" name="Islem_2026_09" displayName="Islem_2026_09" ref="B38:K60" headerRowCount="1" totalsRowCount="0" totalsRowShown="0">
  <tableColumns count="10">
    <tableColumn id="1" name="Tarih"/>
    <tableColumn id="2" name="Açıklama"/>
    <tableColumn id="3" name="Yer"/>
    <tableColumn id="4" name="Kategori"/>
    <tableColumn id="5" name="Yöntem"/>
    <tableColumn id="6" name="Tutar"/>
    <tableColumn id="7" name="Para birimi"/>
    <tableColumn id="8" name="DOP"/>
    <tableColumn id="9" name="USD"/>
    <tableColumn id="10" name="Notlar"/>
  </tableColumns>
</table>
</file>

<file path=xl/tables/table3.xml><?xml version="1.0" encoding="utf-8"?>
<table xmlns="http://schemas.openxmlformats.org/spreadsheetml/2006/main" id="3" name="Islem_2026_10" displayName="Islem_2026_10" ref="B38:K57" headerRowCount="1" totalsRowCount="0" totalsRowShown="0">
  <tableColumns count="10">
    <tableColumn id="1" name="Tarih"/>
    <tableColumn id="2" name="Açıklama"/>
    <tableColumn id="3" name="Yer"/>
    <tableColumn id="4" name="Kategori"/>
    <tableColumn id="5" name="Yöntem"/>
    <tableColumn id="6" name="Tutar"/>
    <tableColumn id="7" name="Para birimi"/>
    <tableColumn id="8" name="DOP"/>
    <tableColumn id="9" name="USD"/>
    <tableColumn id="10" name="Notlar"/>
  </tableColumns>
</table>
</file>

<file path=xl/tables/table4.xml><?xml version="1.0" encoding="utf-8"?>
<table xmlns="http://schemas.openxmlformats.org/spreadsheetml/2006/main" id="4" name="Katkilar" displayName="Katkilar" ref="I39:O67" headerRowCount="1" totalsRowCount="0" totalsRowShown="0">
  <tableColumns count="7">
    <tableColumn id="1" name="Tarih"/>
    <tableColumn id="2" name="Ay"/>
    <tableColumn id="3" name="Hedef"/>
    <tableColumn id="4" name="Tutar"/>
    <tableColumn id="5" name="Para birimi"/>
    <tableColumn id="6" name="USD"/>
    <tableColumn id="7" name="DOP"/>
  </tableColumns>
</table>
</file>

<file path=xl/tables/table5.xml><?xml version="1.0" encoding="utf-8"?>
<table xmlns="http://schemas.openxmlformats.org/spreadsheetml/2006/main" id="5" name="Sabit_2026_08" displayName="Sabit_2026_08" ref="B15:H30" headerRowCount="1" totalsRowCount="0" totalsRowShown="0">
  <tableColumns count="7">
    <tableColumn id="1" name="Ödendi"/>
    <tableColumn id="2" name="Kalem"/>
    <tableColumn id="3" name="Gün"/>
    <tableColumn id="4" name="Tutar"/>
    <tableColumn id="5" name="Para birimi"/>
    <tableColumn id="6" name="DOP"/>
    <tableColumn id="7" name="USD"/>
  </tableColumns>
</table>
</file>

<file path=xl/tables/table6.xml><?xml version="1.0" encoding="utf-8"?>
<table xmlns="http://schemas.openxmlformats.org/spreadsheetml/2006/main" id="6" name="Sabit_2026_09" displayName="Sabit_2026_09" ref="B15:H30" headerRowCount="1" totalsRowCount="0" totalsRowShown="0">
  <tableColumns count="7">
    <tableColumn id="1" name="Ödendi"/>
    <tableColumn id="2" name="Kalem"/>
    <tableColumn id="3" name="Gün"/>
    <tableColumn id="4" name="Tutar"/>
    <tableColumn id="5" name="Para birimi"/>
    <tableColumn id="6" name="DOP"/>
    <tableColumn id="7" name="USD"/>
  </tableColumns>
</table>
</file>

<file path=xl/tables/table7.xml><?xml version="1.0" encoding="utf-8"?>
<table xmlns="http://schemas.openxmlformats.org/spreadsheetml/2006/main" id="7" name="Sabit_2026_10" displayName="Sabit_2026_10" ref="B15:H30" headerRowCount="1" totalsRowCount="0" totalsRowShown="0">
  <tableColumns count="7">
    <tableColumn id="1" name="Ödendi"/>
    <tableColumn id="2" name="Kalem"/>
    <tableColumn id="3" name="Gün"/>
    <tableColumn id="4" name="Tutar"/>
    <tableColumn id="5" name="Para birimi"/>
    <tableColumn id="6" name="DOP"/>
    <tableColumn id="7" name="USD"/>
  </tableColumns>
</table>
</file>

<file path=xl/tables/table8.xml><?xml version="1.0" encoding="utf-8"?>
<table xmlns="http://schemas.openxmlformats.org/spreadsheetml/2006/main" id="8" name="Transfer_2026_08" displayName="Transfer_2026_08" ref="M29:Q34" headerRowCount="1" totalsRowCount="0" totalsRowShown="0">
  <tableColumns count="5">
    <tableColumn id="1" name="Tarih"/>
    <tableColumn id="2" name="Kanal"/>
    <tableColumn id="3" name="USD"/>
    <tableColumn id="4" name="Kur"/>
    <tableColumn id="5" name="DOP"/>
  </tableColumns>
</table>
</file>

<file path=xl/tables/table9.xml><?xml version="1.0" encoding="utf-8"?>
<table xmlns="http://schemas.openxmlformats.org/spreadsheetml/2006/main" id="9" name="Transfer_2026_09" displayName="Transfer_2026_09" ref="M29:Q34" headerRowCount="1" totalsRowCount="0" totalsRowShown="0">
  <tableColumns count="5">
    <tableColumn id="1" name="Tarih"/>
    <tableColumn id="2" name="Kanal"/>
    <tableColumn id="3" name="USD"/>
    <tableColumn id="4" name="Kur"/>
    <tableColumn id="5" name="DOP"/>
  </tableColumns>
</table>
</file>

<file path=xl/tables/table10.xml><?xml version="1.0" encoding="utf-8"?>
<table xmlns="http://schemas.openxmlformats.org/spreadsheetml/2006/main" id="10" name="Transfer_2026_10" displayName="Transfer_2026_10" ref="M29:Q34" headerRowCount="1" totalsRowCount="0" totalsRowShown="0">
  <tableColumns count="5">
    <tableColumn id="1" name="Tarih"/>
    <tableColumn id="2" name="Kanal"/>
    <tableColumn id="3" name="USD"/>
    <tableColumn id="4" name="Kur"/>
    <tableColumn id="5" name="DOP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5.xml"/><Relationship Id="rId4" Type="http://schemas.openxmlformats.org/officeDocument/2006/relationships/table" Target="../tables/table8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Relationship Id="rId3" Type="http://schemas.openxmlformats.org/officeDocument/2006/relationships/table" Target="../tables/table6.xml"/><Relationship Id="rId4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<Relationship Id="rId3" Type="http://schemas.openxmlformats.org/officeDocument/2006/relationships/table" Target="../tables/table7.xml"/><Relationship Id="rId4" Type="http://schemas.openxmlformats.org/officeDocument/2006/relationships/table" Target="../tables/table10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D52"/>
    <pageSetUpPr fitToPage="false"/>
  </sheetPr>
  <dimension ref="A1:T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20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8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3"/>
    <col collapsed="false" customWidth="true" hidden="false" outlineLevel="0" max="13" min="13" style="1" width="11"/>
    <col collapsed="false" customWidth="true" hidden="false" outlineLevel="0" max="15" min="14" style="1" width="1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9" min="18" style="1" width="2"/>
    <col collapsed="false" customWidth="true" hidden="true" outlineLevel="0" max="20" min="20" style="1" width="14"/>
    <col collapsed="false" customWidth="true" hidden="false" outlineLevel="0" max="60" min="21" style="1" width="9"/>
  </cols>
  <sheetData>
    <row r="1" s="1" customFormat="true" ht="26" hidden="false" customHeight="true" outlineLevel="0" collapsed="false">
      <c r="A1" s="2"/>
      <c r="B1" s="3" t="s">
        <v>0</v>
      </c>
      <c r="C1" s="2"/>
      <c r="D1" s="4" t="s">
        <v>1</v>
      </c>
      <c r="E1" s="2"/>
      <c r="F1" s="2"/>
      <c r="G1" s="2"/>
      <c r="H1" s="2"/>
      <c r="I1" s="2"/>
      <c r="J1" s="2"/>
      <c r="K1" s="2"/>
      <c r="L1" s="2"/>
      <c r="M1" s="5" t="s">
        <v>2</v>
      </c>
      <c r="N1" s="6" t="str">
        <f aca="false">"1 USD = "&amp;FIXED($T$3,2)&amp;" DOP"</f>
        <v>1 USD = 58.18 DOP</v>
      </c>
      <c r="O1" s="6"/>
      <c r="P1" s="6"/>
      <c r="Q1" s="6"/>
      <c r="R1" s="2"/>
    </row>
    <row r="2" s="1" customFormat="true" ht="16" hidden="false" customHeight="true" outlineLevel="0" collapsed="false">
      <c r="B2" s="7" t="s">
        <v>3</v>
      </c>
      <c r="T2" s="8" t="s">
        <v>4</v>
      </c>
    </row>
    <row r="3" s="1" customFormat="true" ht="6" hidden="false" customHeight="true" outlineLevel="0" collapsed="false">
      <c r="T3" s="9" t="n">
        <f aca="false">IFERROR(SUMPRODUCT(Transfer_2026_08[USD],Transfer_2026_08[Kur])/SUM(Transfer_2026_08[USD]),Config!$C$4)</f>
        <v>58.1833333333333</v>
      </c>
    </row>
    <row r="4" s="1" customFormat="true" ht="18" hidden="false" customHeight="true" outlineLevel="0" collapsed="false">
      <c r="B4" s="10" t="s">
        <v>5</v>
      </c>
      <c r="C4" s="11"/>
      <c r="D4" s="12"/>
      <c r="E4" s="13"/>
      <c r="F4" s="11"/>
      <c r="G4" s="14" t="s">
        <v>6</v>
      </c>
      <c r="H4" s="11"/>
      <c r="I4" s="12"/>
      <c r="J4" s="10" t="str">
        <f aca="false">UPPER($D$1)</f>
        <v>AĞUSTOS 2026</v>
      </c>
      <c r="K4" s="11"/>
      <c r="L4" s="11"/>
      <c r="M4" s="11"/>
      <c r="N4" s="11"/>
      <c r="O4" s="11"/>
      <c r="P4" s="11"/>
      <c r="Q4" s="12"/>
      <c r="T4" s="9" t="n">
        <f aca="false">SUMIFS(Sabit_2026_08[DOP],Sabit_2026_08[Ödendi],"Evet")</f>
        <v>41917.6933333333</v>
      </c>
    </row>
    <row r="5" s="1" customFormat="true" ht="28" hidden="false" customHeight="true" outlineLevel="0" collapsed="false">
      <c r="B5" s="15" t="n">
        <f aca="false">C8*$T$3+C9</f>
        <v>305115</v>
      </c>
      <c r="C5" s="15"/>
      <c r="D5" s="15"/>
      <c r="E5" s="16"/>
      <c r="F5" s="17"/>
      <c r="G5" s="17"/>
      <c r="H5" s="17"/>
      <c r="I5" s="18"/>
      <c r="J5" s="19" t="str">
        <f aca="false">"Kullanılan bütçe: %"&amp;FIXED(100*$T$8/MAX(1,O6),1)</f>
        <v>Kullanılan bütçe: %99.7</v>
      </c>
      <c r="K5" s="17"/>
      <c r="L5" s="17"/>
      <c r="M5" s="17"/>
      <c r="N5" s="17"/>
      <c r="O5" s="17"/>
      <c r="P5" s="17"/>
      <c r="Q5" s="18"/>
      <c r="T5" s="9" t="n">
        <f aca="false">SUM(Islem_2026_08[DOP])</f>
        <v>27850</v>
      </c>
    </row>
    <row r="6" s="1" customFormat="true" ht="18" hidden="false" customHeight="true" outlineLevel="0" collapsed="false">
      <c r="B6" s="20" t="n">
        <f aca="false">C8+C9/$T$3</f>
        <v>5244.02749928387</v>
      </c>
      <c r="C6" s="20"/>
      <c r="D6" s="20"/>
      <c r="E6" s="16"/>
      <c r="F6" s="17"/>
      <c r="G6" s="21" t="s">
        <v>7</v>
      </c>
      <c r="H6" s="21"/>
      <c r="I6" s="22" t="n">
        <f aca="false">$T$4</f>
        <v>41917.6933333333</v>
      </c>
      <c r="J6" s="23" t="s">
        <v>8</v>
      </c>
      <c r="K6" s="24"/>
      <c r="L6" s="24"/>
      <c r="M6" s="24"/>
      <c r="N6" s="24"/>
      <c r="O6" s="25" t="n">
        <v>70000</v>
      </c>
      <c r="P6" s="25"/>
      <c r="Q6" s="25"/>
      <c r="T6" s="9" t="n">
        <f aca="false">SUMIFS(Sabit_2026_08[DOP],Sabit_2026_08[Ödendi],"Hayır")</f>
        <v>0</v>
      </c>
    </row>
    <row r="7" s="1" customFormat="true" ht="10" hidden="false" customHeight="true" outlineLevel="0" collapsed="false">
      <c r="B7" s="16"/>
      <c r="C7" s="17"/>
      <c r="D7" s="18"/>
      <c r="E7" s="16"/>
      <c r="F7" s="17"/>
      <c r="G7" s="17"/>
      <c r="H7" s="17"/>
      <c r="I7" s="18"/>
      <c r="J7" s="16"/>
      <c r="K7" s="17"/>
      <c r="L7" s="17"/>
      <c r="M7" s="17"/>
      <c r="N7" s="17"/>
      <c r="O7" s="17"/>
      <c r="P7" s="17"/>
      <c r="Q7" s="18"/>
      <c r="T7" s="9" t="n">
        <f aca="false">MAX(0,O6-T4-T5-T6)</f>
        <v>232.306666666664</v>
      </c>
    </row>
    <row r="8" s="1" customFormat="true" ht="20" hidden="false" customHeight="true" outlineLevel="0" collapsed="false">
      <c r="B8" s="26" t="s">
        <v>9</v>
      </c>
      <c r="C8" s="27" t="n">
        <v>3900</v>
      </c>
      <c r="D8" s="28" t="s">
        <v>10</v>
      </c>
      <c r="E8" s="16"/>
      <c r="F8" s="17"/>
      <c r="G8" s="29" t="s">
        <v>11</v>
      </c>
      <c r="H8" s="29"/>
      <c r="I8" s="22" t="n">
        <f aca="false">$T$5</f>
        <v>27850</v>
      </c>
      <c r="J8" s="30" t="s">
        <v>12</v>
      </c>
      <c r="K8" s="24"/>
      <c r="L8" s="24"/>
      <c r="M8" s="24"/>
      <c r="N8" s="24"/>
      <c r="O8" s="31" t="n">
        <f aca="false">$T$8</f>
        <v>69767.6933333333</v>
      </c>
      <c r="P8" s="31"/>
      <c r="Q8" s="31"/>
      <c r="T8" s="9" t="n">
        <f aca="false">T4+T5</f>
        <v>69767.6933333333</v>
      </c>
    </row>
    <row r="9" s="1" customFormat="true" ht="20" hidden="false" customHeight="true" outlineLevel="0" collapsed="false">
      <c r="B9" s="26" t="s">
        <v>13</v>
      </c>
      <c r="C9" s="27" t="n">
        <v>78200</v>
      </c>
      <c r="D9" s="28" t="s">
        <v>14</v>
      </c>
      <c r="E9" s="16"/>
      <c r="F9" s="17"/>
      <c r="G9" s="32" t="s">
        <v>15</v>
      </c>
      <c r="H9" s="32"/>
      <c r="I9" s="22" t="n">
        <f aca="false">$T$6</f>
        <v>0</v>
      </c>
      <c r="J9" s="30" t="s">
        <v>16</v>
      </c>
      <c r="K9" s="24"/>
      <c r="L9" s="24"/>
      <c r="M9" s="24"/>
      <c r="N9" s="24"/>
      <c r="O9" s="33" t="n">
        <f aca="false">O6-O8</f>
        <v>232.306666666671</v>
      </c>
      <c r="P9" s="33"/>
      <c r="Q9" s="33"/>
      <c r="T9" s="9" t="str">
        <f aca="false">FIXED(T8,0)</f>
        <v>69,768</v>
      </c>
    </row>
    <row r="10" s="1" customFormat="true" ht="20" hidden="false" customHeight="true" outlineLevel="0" collapsed="false">
      <c r="B10" s="26" t="s">
        <v>17</v>
      </c>
      <c r="C10" s="27" t="n">
        <v>5800</v>
      </c>
      <c r="D10" s="28" t="s">
        <v>10</v>
      </c>
      <c r="E10" s="16"/>
      <c r="F10" s="17"/>
      <c r="G10" s="34" t="s">
        <v>18</v>
      </c>
      <c r="H10" s="34"/>
      <c r="I10" s="22" t="n">
        <f aca="false">$T$7</f>
        <v>232.306666666664</v>
      </c>
      <c r="J10" s="26" t="s">
        <v>19</v>
      </c>
      <c r="K10" s="24"/>
      <c r="L10" s="24"/>
      <c r="M10" s="24"/>
      <c r="N10" s="24"/>
      <c r="O10" s="35" t="n">
        <f aca="false">O9-$T$6</f>
        <v>232.306666666671</v>
      </c>
      <c r="P10" s="35"/>
      <c r="Q10" s="35"/>
      <c r="T10" s="9" t="str">
        <f aca="false">"/ "&amp;FIXED(O6,0)&amp;" DOP"</f>
        <v>/ 70,000 DOP</v>
      </c>
    </row>
    <row r="11" s="1" customFormat="true" ht="20" hidden="false" customHeight="true" outlineLevel="0" collapsed="false">
      <c r="B11" s="36" t="s">
        <v>20</v>
      </c>
      <c r="C11" s="37" t="n">
        <f aca="false">C10*$T$3-$T$8</f>
        <v>267695.64</v>
      </c>
      <c r="D11" s="37"/>
      <c r="E11" s="16"/>
      <c r="F11" s="17"/>
      <c r="G11" s="17"/>
      <c r="H11" s="17"/>
      <c r="I11" s="18"/>
      <c r="J11" s="26" t="s">
        <v>21</v>
      </c>
      <c r="K11" s="24"/>
      <c r="L11" s="24"/>
      <c r="M11" s="24"/>
      <c r="N11" s="24"/>
      <c r="O11" s="35" t="n">
        <f aca="false">$T$8/$T$3</f>
        <v>1199.10100257806</v>
      </c>
      <c r="P11" s="35"/>
      <c r="Q11" s="35"/>
    </row>
    <row r="12" s="1" customFormat="true" ht="10" hidden="false" customHeight="true" outlineLevel="0" collapsed="false">
      <c r="B12" s="38"/>
      <c r="C12" s="39"/>
      <c r="D12" s="40"/>
      <c r="E12" s="38"/>
      <c r="F12" s="39"/>
      <c r="G12" s="39"/>
      <c r="H12" s="39"/>
      <c r="I12" s="40"/>
      <c r="J12" s="38"/>
      <c r="K12" s="39"/>
      <c r="L12" s="39"/>
      <c r="M12" s="39"/>
      <c r="N12" s="39"/>
      <c r="O12" s="39"/>
      <c r="P12" s="39"/>
      <c r="Q12" s="40"/>
    </row>
    <row r="13" s="1" customFormat="true" ht="10" hidden="false" customHeight="true" outlineLevel="0" collapsed="false"/>
    <row r="14" s="1" customFormat="true" ht="26" hidden="false" customHeight="true" outlineLevel="0" collapsed="false">
      <c r="B14" s="41" t="s">
        <v>22</v>
      </c>
      <c r="C14" s="11"/>
      <c r="D14" s="11"/>
      <c r="E14" s="11"/>
      <c r="F14" s="11"/>
      <c r="G14" s="11"/>
      <c r="H14" s="42" t="str">
        <f aca="false">COUNTIFS(Sabit_2026_08[Ödendi],"Evet")&amp;" / "&amp;COUNTA(Sabit_2026_08[Kalem])&amp;" ödendi · toplam "&amp;FIXED(SUM(Sabit_2026_08[DOP]),2)&amp;" DOP"</f>
        <v>11 / 11 ödendi · toplam 41,917.69 DOP</v>
      </c>
      <c r="I14" s="42"/>
      <c r="J14" s="42"/>
      <c r="K14" s="42"/>
      <c r="M14" s="41" t="s">
        <v>23</v>
      </c>
      <c r="N14" s="11"/>
      <c r="O14" s="11"/>
      <c r="P14" s="11"/>
      <c r="Q14" s="42" t="s">
        <v>14</v>
      </c>
    </row>
    <row r="15" s="1" customFormat="true" ht="20" hidden="false" customHeight="false" outlineLevel="0" collapsed="false">
      <c r="B15" s="43" t="s">
        <v>24</v>
      </c>
      <c r="C15" s="44" t="s">
        <v>25</v>
      </c>
      <c r="D15" s="44" t="s">
        <v>26</v>
      </c>
      <c r="E15" s="45" t="s">
        <v>27</v>
      </c>
      <c r="F15" s="44" t="s">
        <v>28</v>
      </c>
      <c r="G15" s="45" t="s">
        <v>14</v>
      </c>
      <c r="H15" s="45" t="s">
        <v>10</v>
      </c>
      <c r="I15" s="17"/>
      <c r="J15" s="17"/>
      <c r="K15" s="18"/>
      <c r="M15" s="16" t="s">
        <v>29</v>
      </c>
      <c r="N15" s="16"/>
      <c r="O15" s="46" t="n">
        <f aca="false">Q15</f>
        <v>41917.6933333333</v>
      </c>
      <c r="P15" s="46"/>
      <c r="Q15" s="22" t="n">
        <f aca="false">$T$4</f>
        <v>41917.6933333333</v>
      </c>
    </row>
    <row r="16" s="1" customFormat="true" ht="20" hidden="false" customHeight="false" outlineLevel="0" collapsed="false">
      <c r="B16" s="47" t="s">
        <v>30</v>
      </c>
      <c r="C16" s="48" t="s">
        <v>31</v>
      </c>
      <c r="D16" s="49"/>
      <c r="E16" s="50" t="n">
        <v>1290.4</v>
      </c>
      <c r="F16" s="49" t="s">
        <v>14</v>
      </c>
      <c r="G16" s="51" t="n">
        <f aca="false">IF(Sabit_2026_08[[#This Row],[Tutar]]="","",IF(Sabit_2026_08[[#This Row],[Para birimi]]="USD",Sabit_2026_08[[#This Row],[Tutar]]*$T$3,Sabit_2026_08[[#This Row],[Tutar]]))</f>
        <v>1290.4</v>
      </c>
      <c r="H16" s="52" t="n">
        <f aca="false">IF(Sabit_2026_08[[#This Row],[DOP]]="","",Sabit_2026_08[[#This Row],[DOP]]/$T$3)</f>
        <v>22.178172443426</v>
      </c>
      <c r="I16" s="17"/>
      <c r="J16" s="17"/>
      <c r="K16" s="18"/>
      <c r="M16" s="16" t="s">
        <v>32</v>
      </c>
      <c r="N16" s="16"/>
      <c r="O16" s="46" t="n">
        <f aca="false">Q16</f>
        <v>4430</v>
      </c>
      <c r="P16" s="46"/>
      <c r="Q16" s="22" t="n">
        <f aca="false">SUMIFS(Islem_2026_08[DOP],Islem_2026_08[Kategori],M16)</f>
        <v>4430</v>
      </c>
    </row>
    <row r="17" s="1" customFormat="true" ht="20" hidden="false" customHeight="false" outlineLevel="0" collapsed="false">
      <c r="B17" s="47" t="s">
        <v>30</v>
      </c>
      <c r="C17" s="48" t="s">
        <v>33</v>
      </c>
      <c r="D17" s="49"/>
      <c r="E17" s="50" t="n">
        <v>2699</v>
      </c>
      <c r="F17" s="49" t="s">
        <v>14</v>
      </c>
      <c r="G17" s="51" t="n">
        <f aca="false">IF(Sabit_2026_08[[#This Row],[Tutar]]="","",IF(Sabit_2026_08[[#This Row],[Para birimi]]="USD",Sabit_2026_08[[#This Row],[Tutar]]*$T$3,Sabit_2026_08[[#This Row],[Tutar]]))</f>
        <v>2699</v>
      </c>
      <c r="H17" s="52" t="n">
        <f aca="false">IF(Sabit_2026_08[[#This Row],[DOP]]="","",Sabit_2026_08[[#This Row],[DOP]]/$T$3)</f>
        <v>46.3878544829562</v>
      </c>
      <c r="I17" s="17"/>
      <c r="J17" s="17"/>
      <c r="K17" s="18"/>
      <c r="M17" s="16" t="s">
        <v>34</v>
      </c>
      <c r="N17" s="16"/>
      <c r="O17" s="46" t="n">
        <f aca="false">Q17</f>
        <v>9910</v>
      </c>
      <c r="P17" s="46"/>
      <c r="Q17" s="22" t="n">
        <f aca="false">SUMIFS(Islem_2026_08[DOP],Islem_2026_08[Kategori],M17)</f>
        <v>9910</v>
      </c>
    </row>
    <row r="18" s="1" customFormat="true" ht="20" hidden="false" customHeight="false" outlineLevel="0" collapsed="false">
      <c r="B18" s="47" t="s">
        <v>30</v>
      </c>
      <c r="C18" s="48" t="s">
        <v>35</v>
      </c>
      <c r="D18" s="49"/>
      <c r="E18" s="50" t="n">
        <v>5640</v>
      </c>
      <c r="F18" s="49" t="s">
        <v>14</v>
      </c>
      <c r="G18" s="51" t="n">
        <f aca="false">IF(Sabit_2026_08[[#This Row],[Tutar]]="","",IF(Sabit_2026_08[[#This Row],[Para birimi]]="USD",Sabit_2026_08[[#This Row],[Tutar]]*$T$3,Sabit_2026_08[[#This Row],[Tutar]]))</f>
        <v>5640</v>
      </c>
      <c r="H18" s="52" t="n">
        <f aca="false">IF(Sabit_2026_08[[#This Row],[DOP]]="","",Sabit_2026_08[[#This Row],[DOP]]/$T$3)</f>
        <v>96.9349756516757</v>
      </c>
      <c r="I18" s="17"/>
      <c r="J18" s="17"/>
      <c r="K18" s="18"/>
      <c r="M18" s="16" t="s">
        <v>36</v>
      </c>
      <c r="N18" s="16"/>
      <c r="O18" s="46" t="n">
        <f aca="false">Q18</f>
        <v>4610</v>
      </c>
      <c r="P18" s="46"/>
      <c r="Q18" s="22" t="n">
        <f aca="false">SUMIFS(Islem_2026_08[DOP],Islem_2026_08[Kategori],M18)</f>
        <v>4610</v>
      </c>
    </row>
    <row r="19" s="1" customFormat="true" ht="20" hidden="false" customHeight="false" outlineLevel="0" collapsed="false">
      <c r="B19" s="47" t="s">
        <v>30</v>
      </c>
      <c r="C19" s="48" t="s">
        <v>37</v>
      </c>
      <c r="D19" s="49"/>
      <c r="E19" s="50" t="n">
        <v>15000</v>
      </c>
      <c r="F19" s="49" t="s">
        <v>14</v>
      </c>
      <c r="G19" s="51" t="n">
        <f aca="false">IF(Sabit_2026_08[[#This Row],[Tutar]]="","",IF(Sabit_2026_08[[#This Row],[Para birimi]]="USD",Sabit_2026_08[[#This Row],[Tutar]]*$T$3,Sabit_2026_08[[#This Row],[Tutar]]))</f>
        <v>15000</v>
      </c>
      <c r="H19" s="52" t="n">
        <f aca="false">IF(Sabit_2026_08[[#This Row],[DOP]]="","",Sabit_2026_08[[#This Row],[DOP]]/$T$3)</f>
        <v>257.805786307648</v>
      </c>
      <c r="I19" s="17"/>
      <c r="J19" s="17"/>
      <c r="K19" s="18"/>
      <c r="M19" s="16" t="s">
        <v>38</v>
      </c>
      <c r="N19" s="16"/>
      <c r="O19" s="46" t="n">
        <f aca="false">Q19</f>
        <v>2500</v>
      </c>
      <c r="P19" s="46"/>
      <c r="Q19" s="22" t="n">
        <f aca="false">SUMIFS(Islem_2026_08[DOP],Islem_2026_08[Kategori],M19)</f>
        <v>2500</v>
      </c>
    </row>
    <row r="20" s="1" customFormat="true" ht="20" hidden="false" customHeight="false" outlineLevel="0" collapsed="false">
      <c r="B20" s="47" t="s">
        <v>30</v>
      </c>
      <c r="C20" s="48" t="s">
        <v>39</v>
      </c>
      <c r="D20" s="49" t="n">
        <v>5</v>
      </c>
      <c r="E20" s="50" t="n">
        <v>106</v>
      </c>
      <c r="F20" s="49" t="s">
        <v>10</v>
      </c>
      <c r="G20" s="51" t="n">
        <f aca="false">IF(Sabit_2026_08[[#This Row],[Tutar]]="","",IF(Sabit_2026_08[[#This Row],[Para birimi]]="USD",Sabit_2026_08[[#This Row],[Tutar]]*$T$3,Sabit_2026_08[[#This Row],[Tutar]]))</f>
        <v>6167.43333333333</v>
      </c>
      <c r="H20" s="52" t="n">
        <f aca="false">IF(Sabit_2026_08[[#This Row],[DOP]]="","",Sabit_2026_08[[#This Row],[DOP]]/$T$3)</f>
        <v>106</v>
      </c>
      <c r="I20" s="17"/>
      <c r="J20" s="17"/>
      <c r="K20" s="18"/>
      <c r="M20" s="16" t="s">
        <v>40</v>
      </c>
      <c r="N20" s="16"/>
      <c r="O20" s="46" t="n">
        <f aca="false">Q20</f>
        <v>2500</v>
      </c>
      <c r="P20" s="46"/>
      <c r="Q20" s="22" t="n">
        <f aca="false">SUMIFS(Islem_2026_08[DOP],Islem_2026_08[Kategori],M20)</f>
        <v>2500</v>
      </c>
    </row>
    <row r="21" s="1" customFormat="true" ht="20" hidden="false" customHeight="false" outlineLevel="0" collapsed="false">
      <c r="B21" s="47" t="s">
        <v>30</v>
      </c>
      <c r="C21" s="48" t="s">
        <v>41</v>
      </c>
      <c r="D21" s="49" t="n">
        <v>16</v>
      </c>
      <c r="E21" s="50" t="n">
        <v>121.56</v>
      </c>
      <c r="F21" s="49" t="s">
        <v>14</v>
      </c>
      <c r="G21" s="51" t="n">
        <f aca="false">IF(Sabit_2026_08[[#This Row],[Tutar]]="","",IF(Sabit_2026_08[[#This Row],[Para birimi]]="USD",Sabit_2026_08[[#This Row],[Tutar]]*$T$3,Sabit_2026_08[[#This Row],[Tutar]]))</f>
        <v>121.56</v>
      </c>
      <c r="H21" s="52" t="n">
        <f aca="false">IF(Sabit_2026_08[[#This Row],[DOP]]="","",Sabit_2026_08[[#This Row],[DOP]]/$T$3)</f>
        <v>2.08925809223718</v>
      </c>
      <c r="I21" s="17"/>
      <c r="J21" s="17"/>
      <c r="K21" s="18"/>
      <c r="M21" s="16" t="s">
        <v>42</v>
      </c>
      <c r="N21" s="16"/>
      <c r="O21" s="46" t="n">
        <f aca="false">Q21</f>
        <v>3900</v>
      </c>
      <c r="P21" s="46"/>
      <c r="Q21" s="22" t="n">
        <f aca="false">SUMIFS(Islem_2026_08[DOP],Islem_2026_08[Kategori],M21)</f>
        <v>3900</v>
      </c>
    </row>
    <row r="22" s="1" customFormat="true" ht="20" hidden="false" customHeight="false" outlineLevel="0" collapsed="false">
      <c r="B22" s="47" t="s">
        <v>30</v>
      </c>
      <c r="C22" s="48" t="s">
        <v>43</v>
      </c>
      <c r="D22" s="49" t="n">
        <v>17</v>
      </c>
      <c r="E22" s="50" t="n">
        <v>604</v>
      </c>
      <c r="F22" s="49" t="s">
        <v>14</v>
      </c>
      <c r="G22" s="51" t="n">
        <f aca="false">IF(Sabit_2026_08[[#This Row],[Tutar]]="","",IF(Sabit_2026_08[[#This Row],[Para birimi]]="USD",Sabit_2026_08[[#This Row],[Tutar]]*$T$3,Sabit_2026_08[[#This Row],[Tutar]]))</f>
        <v>604</v>
      </c>
      <c r="H22" s="52" t="n">
        <f aca="false">IF(Sabit_2026_08[[#This Row],[DOP]]="","",Sabit_2026_08[[#This Row],[DOP]]/$T$3)</f>
        <v>10.380979661988</v>
      </c>
      <c r="I22" s="17"/>
      <c r="J22" s="17"/>
      <c r="K22" s="18"/>
      <c r="M22" s="16" t="s">
        <v>44</v>
      </c>
      <c r="N22" s="16"/>
      <c r="O22" s="46" t="n">
        <f aca="false">Q22</f>
        <v>0</v>
      </c>
      <c r="P22" s="46"/>
      <c r="Q22" s="22" t="n">
        <f aca="false">SUMIFS(Islem_2026_08[DOP],Islem_2026_08[Kategori],M22)</f>
        <v>0</v>
      </c>
    </row>
    <row r="23" s="1" customFormat="true" ht="20" hidden="false" customHeight="false" outlineLevel="0" collapsed="false">
      <c r="B23" s="47" t="s">
        <v>30</v>
      </c>
      <c r="C23" s="48" t="s">
        <v>45</v>
      </c>
      <c r="D23" s="49"/>
      <c r="E23" s="50" t="n">
        <v>308</v>
      </c>
      <c r="F23" s="49" t="s">
        <v>14</v>
      </c>
      <c r="G23" s="51" t="n">
        <f aca="false">IF(Sabit_2026_08[[#This Row],[Tutar]]="","",IF(Sabit_2026_08[[#This Row],[Para birimi]]="USD",Sabit_2026_08[[#This Row],[Tutar]]*$T$3,Sabit_2026_08[[#This Row],[Tutar]]))</f>
        <v>308</v>
      </c>
      <c r="H23" s="52" t="n">
        <f aca="false">IF(Sabit_2026_08[[#This Row],[DOP]]="","",Sabit_2026_08[[#This Row],[DOP]]/$T$3)</f>
        <v>5.29361214551704</v>
      </c>
      <c r="I23" s="17"/>
      <c r="J23" s="17"/>
      <c r="K23" s="18"/>
      <c r="M23" s="16" t="s">
        <v>46</v>
      </c>
      <c r="N23" s="16"/>
      <c r="O23" s="46" t="n">
        <f aca="false">Q23</f>
        <v>0</v>
      </c>
      <c r="P23" s="46"/>
      <c r="Q23" s="22" t="n">
        <f aca="false">SUMIFS(Islem_2026_08[DOP],Islem_2026_08[Kategori],M23)</f>
        <v>0</v>
      </c>
    </row>
    <row r="24" s="1" customFormat="true" ht="20" hidden="false" customHeight="false" outlineLevel="0" collapsed="false">
      <c r="B24" s="47" t="s">
        <v>30</v>
      </c>
      <c r="C24" s="48" t="s">
        <v>47</v>
      </c>
      <c r="D24" s="49" t="n">
        <v>17</v>
      </c>
      <c r="E24" s="50" t="n">
        <v>1550</v>
      </c>
      <c r="F24" s="49" t="s">
        <v>14</v>
      </c>
      <c r="G24" s="51" t="n">
        <f aca="false">IF(Sabit_2026_08[[#This Row],[Tutar]]="","",IF(Sabit_2026_08[[#This Row],[Para birimi]]="USD",Sabit_2026_08[[#This Row],[Tutar]]*$T$3,Sabit_2026_08[[#This Row],[Tutar]]))</f>
        <v>1550</v>
      </c>
      <c r="H24" s="52" t="n">
        <f aca="false">IF(Sabit_2026_08[[#This Row],[DOP]]="","",Sabit_2026_08[[#This Row],[DOP]]/$T$3)</f>
        <v>26.6399312517903</v>
      </c>
      <c r="I24" s="17"/>
      <c r="J24" s="17"/>
      <c r="K24" s="18"/>
      <c r="M24" s="16" t="s">
        <v>48</v>
      </c>
      <c r="N24" s="16"/>
      <c r="O24" s="46" t="n">
        <f aca="false">Q24</f>
        <v>0</v>
      </c>
      <c r="P24" s="46"/>
      <c r="Q24" s="22" t="n">
        <f aca="false">SUMIFS(Islem_2026_08[DOP],Islem_2026_08[Kategori],M24)</f>
        <v>0</v>
      </c>
    </row>
    <row r="25" s="1" customFormat="true" ht="20" hidden="false" customHeight="false" outlineLevel="0" collapsed="false">
      <c r="B25" s="47" t="s">
        <v>30</v>
      </c>
      <c r="C25" s="48" t="s">
        <v>49</v>
      </c>
      <c r="D25" s="49"/>
      <c r="E25" s="50" t="n">
        <v>1137.3</v>
      </c>
      <c r="F25" s="49" t="s">
        <v>14</v>
      </c>
      <c r="G25" s="51" t="n">
        <f aca="false">IF(Sabit_2026_08[[#This Row],[Tutar]]="","",IF(Sabit_2026_08[[#This Row],[Para birimi]]="USD",Sabit_2026_08[[#This Row],[Tutar]]*$T$3,Sabit_2026_08[[#This Row],[Tutar]]))</f>
        <v>1137.3</v>
      </c>
      <c r="H25" s="52" t="n">
        <f aca="false">IF(Sabit_2026_08[[#This Row],[DOP]]="","",Sabit_2026_08[[#This Row],[DOP]]/$T$3)</f>
        <v>19.5468347178459</v>
      </c>
      <c r="I25" s="17"/>
      <c r="J25" s="17"/>
      <c r="K25" s="18"/>
      <c r="M25" s="16" t="s">
        <v>50</v>
      </c>
      <c r="N25" s="16"/>
      <c r="O25" s="46" t="n">
        <f aca="false">Q25</f>
        <v>0</v>
      </c>
      <c r="P25" s="46"/>
      <c r="Q25" s="22" t="n">
        <f aca="false">SUMIFS(Islem_2026_08[DOP],Islem_2026_08[Kategori],M25)</f>
        <v>0</v>
      </c>
    </row>
    <row r="26" s="1" customFormat="true" ht="20" hidden="false" customHeight="false" outlineLevel="0" collapsed="false">
      <c r="B26" s="47" t="s">
        <v>30</v>
      </c>
      <c r="C26" s="48" t="s">
        <v>51</v>
      </c>
      <c r="D26" s="49"/>
      <c r="E26" s="50" t="n">
        <v>7400</v>
      </c>
      <c r="F26" s="49" t="s">
        <v>14</v>
      </c>
      <c r="G26" s="51" t="n">
        <f aca="false">IF(Sabit_2026_08[[#This Row],[Tutar]]="","",IF(Sabit_2026_08[[#This Row],[Para birimi]]="USD",Sabit_2026_08[[#This Row],[Tutar]]*$T$3,Sabit_2026_08[[#This Row],[Tutar]]))</f>
        <v>7400</v>
      </c>
      <c r="H26" s="52" t="n">
        <f aca="false">IF(Sabit_2026_08[[#This Row],[DOP]]="","",Sabit_2026_08[[#This Row],[DOP]]/$T$3)</f>
        <v>127.184187911773</v>
      </c>
      <c r="I26" s="17"/>
      <c r="J26" s="17"/>
      <c r="K26" s="18"/>
      <c r="M26" s="38"/>
      <c r="N26" s="39"/>
      <c r="O26" s="39"/>
      <c r="P26" s="39"/>
      <c r="Q26" s="40"/>
    </row>
    <row r="27" s="1" customFormat="true" ht="20" hidden="false" customHeight="false" outlineLevel="0" collapsed="false">
      <c r="B27" s="47"/>
      <c r="C27" s="48"/>
      <c r="D27" s="49"/>
      <c r="E27" s="50"/>
      <c r="F27" s="49"/>
      <c r="G27" s="51" t="str">
        <f aca="false">IF(Sabit_2026_08[[#This Row],[Tutar]]="","",IF(Sabit_2026_08[[#This Row],[Para birimi]]="USD",Sabit_2026_08[[#This Row],[Tutar]]*$T$3,Sabit_2026_08[[#This Row],[Tutar]]))</f>
        <v/>
      </c>
      <c r="H27" s="52" t="str">
        <f aca="false">IF(Sabit_2026_08[[#This Row],[DOP]]="","",Sabit_2026_08[[#This Row],[DOP]]/$T$3)</f>
        <v/>
      </c>
      <c r="I27" s="17"/>
      <c r="J27" s="17"/>
      <c r="K27" s="18"/>
    </row>
    <row r="28" s="1" customFormat="true" ht="20" hidden="false" customHeight="false" outlineLevel="0" collapsed="false">
      <c r="B28" s="47"/>
      <c r="C28" s="48"/>
      <c r="D28" s="49"/>
      <c r="E28" s="50"/>
      <c r="F28" s="49"/>
      <c r="G28" s="51" t="str">
        <f aca="false">IF(Sabit_2026_08[[#This Row],[Tutar]]="","",IF(Sabit_2026_08[[#This Row],[Para birimi]]="USD",Sabit_2026_08[[#This Row],[Tutar]]*$T$3,Sabit_2026_08[[#This Row],[Tutar]]))</f>
        <v/>
      </c>
      <c r="H28" s="52" t="str">
        <f aca="false">IF(Sabit_2026_08[[#This Row],[DOP]]="","",Sabit_2026_08[[#This Row],[DOP]]/$T$3)</f>
        <v/>
      </c>
      <c r="I28" s="17"/>
      <c r="J28" s="17"/>
      <c r="K28" s="18"/>
      <c r="M28" s="41" t="s">
        <v>52</v>
      </c>
      <c r="N28" s="11"/>
      <c r="O28" s="42" t="str">
        <f aca="false">"Ortalama "&amp;FIXED($T$3,2)</f>
        <v>Ortalama 58.18</v>
      </c>
      <c r="P28" s="42"/>
      <c r="Q28" s="42"/>
    </row>
    <row r="29" s="1" customFormat="true" ht="20" hidden="false" customHeight="false" outlineLevel="0" collapsed="false">
      <c r="B29" s="47"/>
      <c r="C29" s="48"/>
      <c r="D29" s="49"/>
      <c r="E29" s="50"/>
      <c r="F29" s="49"/>
      <c r="G29" s="51" t="str">
        <f aca="false">IF(Sabit_2026_08[[#This Row],[Tutar]]="","",IF(Sabit_2026_08[[#This Row],[Para birimi]]="USD",Sabit_2026_08[[#This Row],[Tutar]]*$T$3,Sabit_2026_08[[#This Row],[Tutar]]))</f>
        <v/>
      </c>
      <c r="H29" s="52" t="str">
        <f aca="false">IF(Sabit_2026_08[[#This Row],[DOP]]="","",Sabit_2026_08[[#This Row],[DOP]]/$T$3)</f>
        <v/>
      </c>
      <c r="I29" s="17"/>
      <c r="J29" s="17"/>
      <c r="K29" s="18"/>
      <c r="M29" s="43" t="s">
        <v>53</v>
      </c>
      <c r="N29" s="44" t="s">
        <v>54</v>
      </c>
      <c r="O29" s="45" t="s">
        <v>10</v>
      </c>
      <c r="P29" s="45" t="s">
        <v>55</v>
      </c>
      <c r="Q29" s="45" t="s">
        <v>14</v>
      </c>
    </row>
    <row r="30" s="1" customFormat="true" ht="20" hidden="false" customHeight="false" outlineLevel="0" collapsed="false">
      <c r="B30" s="47"/>
      <c r="C30" s="48"/>
      <c r="D30" s="49"/>
      <c r="E30" s="50"/>
      <c r="F30" s="49"/>
      <c r="G30" s="51" t="str">
        <f aca="false">IF(Sabit_2026_08[[#This Row],[Tutar]]="","",IF(Sabit_2026_08[[#This Row],[Para birimi]]="USD",Sabit_2026_08[[#This Row],[Tutar]]*$T$3,Sabit_2026_08[[#This Row],[Tutar]]))</f>
        <v/>
      </c>
      <c r="H30" s="52" t="str">
        <f aca="false">IF(Sabit_2026_08[[#This Row],[DOP]]="","",Sabit_2026_08[[#This Row],[DOP]]/$T$3)</f>
        <v/>
      </c>
      <c r="I30" s="17"/>
      <c r="J30" s="17"/>
      <c r="K30" s="18"/>
      <c r="M30" s="53" t="n">
        <v>46237</v>
      </c>
      <c r="N30" s="48" t="s">
        <v>56</v>
      </c>
      <c r="O30" s="50" t="n">
        <v>1500</v>
      </c>
      <c r="P30" s="54" t="n">
        <v>58.4</v>
      </c>
      <c r="Q30" s="50" t="n">
        <f aca="false">IF(Transfer_2026_08[[#This Row],[USD]]="","",Transfer_2026_08[[#This Row],[USD]]*Transfer_2026_08[[#This Row],[Kur]])</f>
        <v>87600</v>
      </c>
    </row>
    <row r="31" s="1" customFormat="true" ht="6" hidden="false" customHeight="true" outlineLevel="0" collapsed="false">
      <c r="B31" s="38"/>
      <c r="C31" s="39"/>
      <c r="D31" s="39"/>
      <c r="E31" s="39"/>
      <c r="F31" s="39"/>
      <c r="G31" s="39"/>
      <c r="H31" s="39"/>
      <c r="I31" s="39"/>
      <c r="J31" s="39"/>
      <c r="K31" s="40"/>
      <c r="M31" s="53" t="n">
        <v>46252</v>
      </c>
      <c r="N31" s="48" t="s">
        <v>57</v>
      </c>
      <c r="O31" s="50" t="n">
        <v>300</v>
      </c>
      <c r="P31" s="54" t="n">
        <v>57.1</v>
      </c>
      <c r="Q31" s="50" t="n">
        <f aca="false">IF(Transfer_2026_08[[#This Row],[USD]]="","",Transfer_2026_08[[#This Row],[USD]]*Transfer_2026_08[[#This Row],[Kur]])</f>
        <v>17130</v>
      </c>
    </row>
    <row r="32" s="1" customFormat="true" ht="20" hidden="false" customHeight="false" outlineLevel="0" collapsed="false">
      <c r="M32" s="53"/>
      <c r="N32" s="48"/>
      <c r="O32" s="50"/>
      <c r="P32" s="54"/>
      <c r="Q32" s="50" t="str">
        <f aca="false">IF(Transfer_2026_08[[#This Row],[USD]]="","",Transfer_2026_08[[#This Row],[USD]]*Transfer_2026_08[[#This Row],[Kur]])</f>
        <v/>
      </c>
    </row>
    <row r="33" s="1" customFormat="true" ht="20" hidden="false" customHeight="false" outlineLevel="0" collapsed="false">
      <c r="M33" s="53"/>
      <c r="N33" s="48"/>
      <c r="O33" s="50"/>
      <c r="P33" s="54"/>
      <c r="Q33" s="50" t="str">
        <f aca="false">IF(Transfer_2026_08[[#This Row],[USD]]="","",Transfer_2026_08[[#This Row],[USD]]*Transfer_2026_08[[#This Row],[Kur]])</f>
        <v/>
      </c>
    </row>
    <row r="34" s="1" customFormat="true" ht="20" hidden="false" customHeight="false" outlineLevel="0" collapsed="false">
      <c r="M34" s="53"/>
      <c r="N34" s="48"/>
      <c r="O34" s="50"/>
      <c r="P34" s="54"/>
      <c r="Q34" s="50" t="str">
        <f aca="false">IF(Transfer_2026_08[[#This Row],[USD]]="","",Transfer_2026_08[[#This Row],[USD]]*Transfer_2026_08[[#This Row],[Kur]])</f>
        <v/>
      </c>
    </row>
    <row r="35" s="1" customFormat="true" ht="6" hidden="false" customHeight="true" outlineLevel="0" collapsed="false">
      <c r="M35" s="38"/>
      <c r="N35" s="39"/>
      <c r="O35" s="39"/>
      <c r="P35" s="39"/>
      <c r="Q35" s="40"/>
    </row>
    <row r="37" s="1" customFormat="true" ht="26" hidden="false" customHeight="true" outlineLevel="0" collapsed="false">
      <c r="B37" s="41" t="s">
        <v>58</v>
      </c>
      <c r="C37" s="11"/>
      <c r="D37" s="11"/>
      <c r="E37" s="11"/>
      <c r="F37" s="11"/>
      <c r="G37" s="11"/>
      <c r="H37" s="42" t="str">
        <f aca="false">COUNT(Islem_2026_08[Tutar])&amp;" işlem · toplam "&amp;FIXED($T$5,2)&amp;" DOP"</f>
        <v>10 işlem · toplam 27,850.00 DOP</v>
      </c>
      <c r="I37" s="42"/>
      <c r="J37" s="42"/>
      <c r="K37" s="42"/>
    </row>
    <row r="38" s="1" customFormat="true" ht="20" hidden="false" customHeight="false" outlineLevel="0" collapsed="false">
      <c r="B38" s="43" t="s">
        <v>53</v>
      </c>
      <c r="C38" s="44" t="s">
        <v>59</v>
      </c>
      <c r="D38" s="44" t="s">
        <v>60</v>
      </c>
      <c r="E38" s="44" t="s">
        <v>61</v>
      </c>
      <c r="F38" s="44" t="s">
        <v>62</v>
      </c>
      <c r="G38" s="45" t="s">
        <v>27</v>
      </c>
      <c r="H38" s="44" t="s">
        <v>28</v>
      </c>
      <c r="I38" s="45" t="s">
        <v>14</v>
      </c>
      <c r="J38" s="45" t="s">
        <v>10</v>
      </c>
      <c r="K38" s="44" t="s">
        <v>63</v>
      </c>
    </row>
    <row r="39" s="1" customFormat="true" ht="20" hidden="false" customHeight="false" outlineLevel="0" collapsed="false">
      <c r="B39" s="53" t="n">
        <v>46236</v>
      </c>
      <c r="C39" s="48" t="s">
        <v>64</v>
      </c>
      <c r="D39" s="55" t="s">
        <v>65</v>
      </c>
      <c r="E39" s="48" t="s">
        <v>34</v>
      </c>
      <c r="F39" s="55" t="s">
        <v>66</v>
      </c>
      <c r="G39" s="50" t="n">
        <v>5230</v>
      </c>
      <c r="H39" s="49" t="s">
        <v>14</v>
      </c>
      <c r="I39" s="51" t="n">
        <f aca="false">IF(Islem_2026_08[[#This Row],[Tutar]]="","",IF(Islem_2026_08[[#This Row],[Para birimi]]="USD",Islem_2026_08[[#This Row],[Tutar]]*$T$3,Islem_2026_08[[#This Row],[Tutar]]))</f>
        <v>5230</v>
      </c>
      <c r="J39" s="52" t="n">
        <f aca="false">IF(Islem_2026_08[[#This Row],[DOP]]="","",Islem_2026_08[[#This Row],[DOP]]/$T$3)</f>
        <v>89.8882841592667</v>
      </c>
      <c r="K39" s="56"/>
    </row>
    <row r="40" s="1" customFormat="true" ht="20" hidden="false" customHeight="false" outlineLevel="0" collapsed="false">
      <c r="B40" s="53" t="n">
        <v>46238</v>
      </c>
      <c r="C40" s="48" t="s">
        <v>67</v>
      </c>
      <c r="D40" s="55" t="s">
        <v>67</v>
      </c>
      <c r="E40" s="48" t="s">
        <v>36</v>
      </c>
      <c r="F40" s="55" t="s">
        <v>66</v>
      </c>
      <c r="G40" s="50" t="n">
        <v>410</v>
      </c>
      <c r="H40" s="49" t="s">
        <v>14</v>
      </c>
      <c r="I40" s="51" t="n">
        <f aca="false">IF(Islem_2026_08[[#This Row],[Tutar]]="","",IF(Islem_2026_08[[#This Row],[Para birimi]]="USD",Islem_2026_08[[#This Row],[Tutar]]*$T$3,Islem_2026_08[[#This Row],[Tutar]]))</f>
        <v>410</v>
      </c>
      <c r="J40" s="52" t="n">
        <f aca="false">IF(Islem_2026_08[[#This Row],[DOP]]="","",Islem_2026_08[[#This Row],[DOP]]/$T$3)</f>
        <v>7.04669149240905</v>
      </c>
      <c r="K40" s="56"/>
    </row>
    <row r="41" s="1" customFormat="true" ht="20" hidden="false" customHeight="false" outlineLevel="0" collapsed="false">
      <c r="B41" s="53" t="n">
        <v>46240</v>
      </c>
      <c r="C41" s="48" t="s">
        <v>68</v>
      </c>
      <c r="D41" s="55" t="s">
        <v>69</v>
      </c>
      <c r="E41" s="48" t="s">
        <v>32</v>
      </c>
      <c r="F41" s="55" t="s">
        <v>66</v>
      </c>
      <c r="G41" s="50" t="n">
        <v>1280</v>
      </c>
      <c r="H41" s="49" t="s">
        <v>14</v>
      </c>
      <c r="I41" s="51" t="n">
        <f aca="false">IF(Islem_2026_08[[#This Row],[Tutar]]="","",IF(Islem_2026_08[[#This Row],[Para birimi]]="USD",Islem_2026_08[[#This Row],[Tutar]]*$T$3,Islem_2026_08[[#This Row],[Tutar]]))</f>
        <v>1280</v>
      </c>
      <c r="J41" s="52" t="n">
        <f aca="false">IF(Islem_2026_08[[#This Row],[DOP]]="","",Islem_2026_08[[#This Row],[DOP]]/$T$3)</f>
        <v>21.9994270982527</v>
      </c>
      <c r="K41" s="56"/>
    </row>
    <row r="42" s="1" customFormat="true" ht="20" hidden="false" customHeight="false" outlineLevel="0" collapsed="false">
      <c r="B42" s="53" t="n">
        <v>46243</v>
      </c>
      <c r="C42" s="48" t="s">
        <v>70</v>
      </c>
      <c r="D42" s="55" t="s">
        <v>71</v>
      </c>
      <c r="E42" s="48" t="s">
        <v>36</v>
      </c>
      <c r="F42" s="55" t="s">
        <v>66</v>
      </c>
      <c r="G42" s="50" t="n">
        <v>2200</v>
      </c>
      <c r="H42" s="49" t="s">
        <v>14</v>
      </c>
      <c r="I42" s="51" t="n">
        <f aca="false">IF(Islem_2026_08[[#This Row],[Tutar]]="","",IF(Islem_2026_08[[#This Row],[Para birimi]]="USD",Islem_2026_08[[#This Row],[Tutar]]*$T$3,Islem_2026_08[[#This Row],[Tutar]]))</f>
        <v>2200</v>
      </c>
      <c r="J42" s="52" t="n">
        <f aca="false">IF(Islem_2026_08[[#This Row],[DOP]]="","",Islem_2026_08[[#This Row],[DOP]]/$T$3)</f>
        <v>37.8115153251217</v>
      </c>
      <c r="K42" s="56"/>
    </row>
    <row r="43" s="1" customFormat="true" ht="20" hidden="false" customHeight="false" outlineLevel="0" collapsed="false">
      <c r="B43" s="53" t="n">
        <v>46246</v>
      </c>
      <c r="C43" s="48" t="s">
        <v>72</v>
      </c>
      <c r="D43" s="55" t="s">
        <v>73</v>
      </c>
      <c r="E43" s="48" t="s">
        <v>38</v>
      </c>
      <c r="F43" s="55" t="s">
        <v>74</v>
      </c>
      <c r="G43" s="50" t="n">
        <v>2500</v>
      </c>
      <c r="H43" s="49" t="s">
        <v>14</v>
      </c>
      <c r="I43" s="51" t="n">
        <f aca="false">IF(Islem_2026_08[[#This Row],[Tutar]]="","",IF(Islem_2026_08[[#This Row],[Para birimi]]="USD",Islem_2026_08[[#This Row],[Tutar]]*$T$3,Islem_2026_08[[#This Row],[Tutar]]))</f>
        <v>2500</v>
      </c>
      <c r="J43" s="52" t="n">
        <f aca="false">IF(Islem_2026_08[[#This Row],[DOP]]="","",Islem_2026_08[[#This Row],[DOP]]/$T$3)</f>
        <v>42.9676310512747</v>
      </c>
      <c r="K43" s="56"/>
    </row>
    <row r="44" s="1" customFormat="true" ht="20" hidden="false" customHeight="false" outlineLevel="0" collapsed="false">
      <c r="B44" s="53" t="n">
        <v>46249</v>
      </c>
      <c r="C44" s="48" t="s">
        <v>64</v>
      </c>
      <c r="D44" s="55" t="s">
        <v>75</v>
      </c>
      <c r="E44" s="48" t="s">
        <v>34</v>
      </c>
      <c r="F44" s="55" t="s">
        <v>66</v>
      </c>
      <c r="G44" s="50" t="n">
        <v>4680</v>
      </c>
      <c r="H44" s="49" t="s">
        <v>14</v>
      </c>
      <c r="I44" s="51" t="n">
        <f aca="false">IF(Islem_2026_08[[#This Row],[Tutar]]="","",IF(Islem_2026_08[[#This Row],[Para birimi]]="USD",Islem_2026_08[[#This Row],[Tutar]]*$T$3,Islem_2026_08[[#This Row],[Tutar]]))</f>
        <v>4680</v>
      </c>
      <c r="J44" s="52" t="n">
        <f aca="false">IF(Islem_2026_08[[#This Row],[DOP]]="","",Islem_2026_08[[#This Row],[DOP]]/$T$3)</f>
        <v>80.4354053279863</v>
      </c>
      <c r="K44" s="56"/>
    </row>
    <row r="45" s="1" customFormat="true" ht="20" hidden="false" customHeight="false" outlineLevel="0" collapsed="false">
      <c r="B45" s="53" t="n">
        <v>46252</v>
      </c>
      <c r="C45" s="48" t="s">
        <v>76</v>
      </c>
      <c r="D45" s="55" t="s">
        <v>77</v>
      </c>
      <c r="E45" s="48" t="s">
        <v>42</v>
      </c>
      <c r="F45" s="55" t="s">
        <v>66</v>
      </c>
      <c r="G45" s="50" t="n">
        <v>3900</v>
      </c>
      <c r="H45" s="49" t="s">
        <v>14</v>
      </c>
      <c r="I45" s="51" t="n">
        <f aca="false">IF(Islem_2026_08[[#This Row],[Tutar]]="","",IF(Islem_2026_08[[#This Row],[Para birimi]]="USD",Islem_2026_08[[#This Row],[Tutar]]*$T$3,Islem_2026_08[[#This Row],[Tutar]]))</f>
        <v>3900</v>
      </c>
      <c r="J45" s="52" t="n">
        <f aca="false">IF(Islem_2026_08[[#This Row],[DOP]]="","",Islem_2026_08[[#This Row],[DOP]]/$T$3)</f>
        <v>67.0295044399885</v>
      </c>
      <c r="K45" s="56"/>
    </row>
    <row r="46" s="1" customFormat="true" ht="20" hidden="false" customHeight="false" outlineLevel="0" collapsed="false">
      <c r="B46" s="53" t="n">
        <v>46255</v>
      </c>
      <c r="C46" s="48" t="s">
        <v>78</v>
      </c>
      <c r="D46" s="55" t="s">
        <v>79</v>
      </c>
      <c r="E46" s="48" t="s">
        <v>40</v>
      </c>
      <c r="F46" s="55" t="s">
        <v>80</v>
      </c>
      <c r="G46" s="50" t="n">
        <v>2500</v>
      </c>
      <c r="H46" s="49" t="s">
        <v>14</v>
      </c>
      <c r="I46" s="51" t="n">
        <f aca="false">IF(Islem_2026_08[[#This Row],[Tutar]]="","",IF(Islem_2026_08[[#This Row],[Para birimi]]="USD",Islem_2026_08[[#This Row],[Tutar]]*$T$3,Islem_2026_08[[#This Row],[Tutar]]))</f>
        <v>2500</v>
      </c>
      <c r="J46" s="52" t="n">
        <f aca="false">IF(Islem_2026_08[[#This Row],[DOP]]="","",Islem_2026_08[[#This Row],[DOP]]/$T$3)</f>
        <v>42.9676310512747</v>
      </c>
      <c r="K46" s="56" t="s">
        <v>81</v>
      </c>
    </row>
    <row r="47" s="1" customFormat="true" ht="20" hidden="false" customHeight="false" outlineLevel="0" collapsed="false">
      <c r="B47" s="53" t="n">
        <v>46258</v>
      </c>
      <c r="C47" s="48" t="s">
        <v>82</v>
      </c>
      <c r="D47" s="55" t="s">
        <v>83</v>
      </c>
      <c r="E47" s="48" t="s">
        <v>32</v>
      </c>
      <c r="F47" s="55" t="s">
        <v>66</v>
      </c>
      <c r="G47" s="50" t="n">
        <v>3150</v>
      </c>
      <c r="H47" s="49" t="s">
        <v>14</v>
      </c>
      <c r="I47" s="51" t="n">
        <f aca="false">IF(Islem_2026_08[[#This Row],[Tutar]]="","",IF(Islem_2026_08[[#This Row],[Para birimi]]="USD",Islem_2026_08[[#This Row],[Tutar]]*$T$3,Islem_2026_08[[#This Row],[Tutar]]))</f>
        <v>3150</v>
      </c>
      <c r="J47" s="52" t="n">
        <f aca="false">IF(Islem_2026_08[[#This Row],[DOP]]="","",Islem_2026_08[[#This Row],[DOP]]/$T$3)</f>
        <v>54.1392151246061</v>
      </c>
      <c r="K47" s="56"/>
    </row>
    <row r="48" s="1" customFormat="true" ht="20" hidden="false" customHeight="false" outlineLevel="0" collapsed="false">
      <c r="B48" s="53" t="n">
        <v>46263</v>
      </c>
      <c r="C48" s="48" t="s">
        <v>70</v>
      </c>
      <c r="D48" s="55" t="s">
        <v>84</v>
      </c>
      <c r="E48" s="48" t="s">
        <v>36</v>
      </c>
      <c r="F48" s="55" t="s">
        <v>66</v>
      </c>
      <c r="G48" s="50" t="n">
        <v>2000</v>
      </c>
      <c r="H48" s="49" t="s">
        <v>14</v>
      </c>
      <c r="I48" s="51" t="n">
        <f aca="false">IF(Islem_2026_08[[#This Row],[Tutar]]="","",IF(Islem_2026_08[[#This Row],[Para birimi]]="USD",Islem_2026_08[[#This Row],[Tutar]]*$T$3,Islem_2026_08[[#This Row],[Tutar]]))</f>
        <v>2000</v>
      </c>
      <c r="J48" s="52" t="n">
        <f aca="false">IF(Islem_2026_08[[#This Row],[DOP]]="","",Islem_2026_08[[#This Row],[DOP]]/$T$3)</f>
        <v>34.3741048410198</v>
      </c>
      <c r="K48" s="56"/>
    </row>
    <row r="49" s="1" customFormat="true" ht="20" hidden="false" customHeight="false" outlineLevel="0" collapsed="false">
      <c r="B49" s="53"/>
      <c r="C49" s="48"/>
      <c r="D49" s="55"/>
      <c r="E49" s="48"/>
      <c r="F49" s="55"/>
      <c r="G49" s="50"/>
      <c r="H49" s="49"/>
      <c r="I49" s="51" t="str">
        <f aca="false">IF(Islem_2026_08[[#This Row],[Tutar]]="","",IF(Islem_2026_08[[#This Row],[Para birimi]]="USD",Islem_2026_08[[#This Row],[Tutar]]*$T$3,Islem_2026_08[[#This Row],[Tutar]]))</f>
        <v/>
      </c>
      <c r="J49" s="52" t="str">
        <f aca="false">IF(Islem_2026_08[[#This Row],[DOP]]="","",Islem_2026_08[[#This Row],[DOP]]/$T$3)</f>
        <v/>
      </c>
      <c r="K49" s="56"/>
    </row>
    <row r="50" s="1" customFormat="true" ht="20" hidden="false" customHeight="false" outlineLevel="0" collapsed="false">
      <c r="B50" s="53"/>
      <c r="C50" s="48"/>
      <c r="D50" s="55"/>
      <c r="E50" s="48"/>
      <c r="F50" s="55"/>
      <c r="G50" s="50"/>
      <c r="H50" s="49"/>
      <c r="I50" s="51" t="str">
        <f aca="false">IF(Islem_2026_08[[#This Row],[Tutar]]="","",IF(Islem_2026_08[[#This Row],[Para birimi]]="USD",Islem_2026_08[[#This Row],[Tutar]]*$T$3,Islem_2026_08[[#This Row],[Tutar]]))</f>
        <v/>
      </c>
      <c r="J50" s="52" t="str">
        <f aca="false">IF(Islem_2026_08[[#This Row],[DOP]]="","",Islem_2026_08[[#This Row],[DOP]]/$T$3)</f>
        <v/>
      </c>
      <c r="K50" s="56"/>
    </row>
    <row r="51" s="1" customFormat="true" ht="20" hidden="false" customHeight="false" outlineLevel="0" collapsed="false">
      <c r="B51" s="53"/>
      <c r="C51" s="48"/>
      <c r="D51" s="55"/>
      <c r="E51" s="48"/>
      <c r="F51" s="55"/>
      <c r="G51" s="50"/>
      <c r="H51" s="49"/>
      <c r="I51" s="51" t="str">
        <f aca="false">IF(Islem_2026_08[[#This Row],[Tutar]]="","",IF(Islem_2026_08[[#This Row],[Para birimi]]="USD",Islem_2026_08[[#This Row],[Tutar]]*$T$3,Islem_2026_08[[#This Row],[Tutar]]))</f>
        <v/>
      </c>
      <c r="J51" s="52" t="str">
        <f aca="false">IF(Islem_2026_08[[#This Row],[DOP]]="","",Islem_2026_08[[#This Row],[DOP]]/$T$3)</f>
        <v/>
      </c>
      <c r="K51" s="56"/>
    </row>
    <row r="52" s="1" customFormat="true" ht="20" hidden="false" customHeight="false" outlineLevel="0" collapsed="false">
      <c r="B52" s="53"/>
      <c r="C52" s="48"/>
      <c r="D52" s="55"/>
      <c r="E52" s="48"/>
      <c r="F52" s="55"/>
      <c r="G52" s="50"/>
      <c r="H52" s="49"/>
      <c r="I52" s="51" t="str">
        <f aca="false">IF(Islem_2026_08[[#This Row],[Tutar]]="","",IF(Islem_2026_08[[#This Row],[Para birimi]]="USD",Islem_2026_08[[#This Row],[Tutar]]*$T$3,Islem_2026_08[[#This Row],[Tutar]]))</f>
        <v/>
      </c>
      <c r="J52" s="52" t="str">
        <f aca="false">IF(Islem_2026_08[[#This Row],[DOP]]="","",Islem_2026_08[[#This Row],[DOP]]/$T$3)</f>
        <v/>
      </c>
      <c r="K52" s="56"/>
    </row>
    <row r="53" s="1" customFormat="true" ht="20" hidden="false" customHeight="false" outlineLevel="0" collapsed="false">
      <c r="B53" s="53"/>
      <c r="C53" s="48"/>
      <c r="D53" s="55"/>
      <c r="E53" s="48"/>
      <c r="F53" s="55"/>
      <c r="G53" s="50"/>
      <c r="H53" s="49"/>
      <c r="I53" s="51" t="str">
        <f aca="false">IF(Islem_2026_08[[#This Row],[Tutar]]="","",IF(Islem_2026_08[[#This Row],[Para birimi]]="USD",Islem_2026_08[[#This Row],[Tutar]]*$T$3,Islem_2026_08[[#This Row],[Tutar]]))</f>
        <v/>
      </c>
      <c r="J53" s="52" t="str">
        <f aca="false">IF(Islem_2026_08[[#This Row],[DOP]]="","",Islem_2026_08[[#This Row],[DOP]]/$T$3)</f>
        <v/>
      </c>
      <c r="K53" s="56"/>
    </row>
    <row r="54" s="1" customFormat="true" ht="20" hidden="false" customHeight="false" outlineLevel="0" collapsed="false">
      <c r="B54" s="53"/>
      <c r="C54" s="48"/>
      <c r="D54" s="55"/>
      <c r="E54" s="48"/>
      <c r="F54" s="55"/>
      <c r="G54" s="50"/>
      <c r="H54" s="49"/>
      <c r="I54" s="51" t="str">
        <f aca="false">IF(Islem_2026_08[[#This Row],[Tutar]]="","",IF(Islem_2026_08[[#This Row],[Para birimi]]="USD",Islem_2026_08[[#This Row],[Tutar]]*$T$3,Islem_2026_08[[#This Row],[Tutar]]))</f>
        <v/>
      </c>
      <c r="J54" s="52" t="str">
        <f aca="false">IF(Islem_2026_08[[#This Row],[DOP]]="","",Islem_2026_08[[#This Row],[DOP]]/$T$3)</f>
        <v/>
      </c>
      <c r="K54" s="56"/>
    </row>
    <row r="55" s="1" customFormat="true" ht="20" hidden="false" customHeight="false" outlineLevel="0" collapsed="false">
      <c r="B55" s="53"/>
      <c r="C55" s="48"/>
      <c r="D55" s="55"/>
      <c r="E55" s="48"/>
      <c r="F55" s="55"/>
      <c r="G55" s="50"/>
      <c r="H55" s="49"/>
      <c r="I55" s="51" t="str">
        <f aca="false">IF(Islem_2026_08[[#This Row],[Tutar]]="","",IF(Islem_2026_08[[#This Row],[Para birimi]]="USD",Islem_2026_08[[#This Row],[Tutar]]*$T$3,Islem_2026_08[[#This Row],[Tutar]]))</f>
        <v/>
      </c>
      <c r="J55" s="52" t="str">
        <f aca="false">IF(Islem_2026_08[[#This Row],[DOP]]="","",Islem_2026_08[[#This Row],[DOP]]/$T$3)</f>
        <v/>
      </c>
      <c r="K55" s="56"/>
    </row>
    <row r="56" s="1" customFormat="true" ht="20" hidden="false" customHeight="false" outlineLevel="0" collapsed="false">
      <c r="B56" s="53"/>
      <c r="C56" s="48"/>
      <c r="D56" s="55"/>
      <c r="E56" s="48"/>
      <c r="F56" s="55"/>
      <c r="G56" s="50"/>
      <c r="H56" s="49"/>
      <c r="I56" s="51" t="str">
        <f aca="false">IF(Islem_2026_08[[#This Row],[Tutar]]="","",IF(Islem_2026_08[[#This Row],[Para birimi]]="USD",Islem_2026_08[[#This Row],[Tutar]]*$T$3,Islem_2026_08[[#This Row],[Tutar]]))</f>
        <v/>
      </c>
      <c r="J56" s="52" t="str">
        <f aca="false">IF(Islem_2026_08[[#This Row],[DOP]]="","",Islem_2026_08[[#This Row],[DOP]]/$T$3)</f>
        <v/>
      </c>
      <c r="K56" s="56"/>
    </row>
    <row r="57" s="1" customFormat="true" ht="20" hidden="false" customHeight="false" outlineLevel="0" collapsed="false">
      <c r="B57" s="53"/>
      <c r="C57" s="48"/>
      <c r="D57" s="55"/>
      <c r="E57" s="48"/>
      <c r="F57" s="55"/>
      <c r="G57" s="50"/>
      <c r="H57" s="49"/>
      <c r="I57" s="51" t="str">
        <f aca="false">IF(Islem_2026_08[[#This Row],[Tutar]]="","",IF(Islem_2026_08[[#This Row],[Para birimi]]="USD",Islem_2026_08[[#This Row],[Tutar]]*$T$3,Islem_2026_08[[#This Row],[Tutar]]))</f>
        <v/>
      </c>
      <c r="J57" s="52" t="str">
        <f aca="false">IF(Islem_2026_08[[#This Row],[DOP]]="","",Islem_2026_08[[#This Row],[DOP]]/$T$3)</f>
        <v/>
      </c>
      <c r="K57" s="56"/>
    </row>
    <row r="58" s="1" customFormat="true" ht="20" hidden="false" customHeight="false" outlineLevel="0" collapsed="false">
      <c r="B58" s="53"/>
      <c r="C58" s="48"/>
      <c r="D58" s="55"/>
      <c r="E58" s="48"/>
      <c r="F58" s="55"/>
      <c r="G58" s="50"/>
      <c r="H58" s="49"/>
      <c r="I58" s="51" t="str">
        <f aca="false">IF(Islem_2026_08[[#This Row],[Tutar]]="","",IF(Islem_2026_08[[#This Row],[Para birimi]]="USD",Islem_2026_08[[#This Row],[Tutar]]*$T$3,Islem_2026_08[[#This Row],[Tutar]]))</f>
        <v/>
      </c>
      <c r="J58" s="52" t="str">
        <f aca="false">IF(Islem_2026_08[[#This Row],[DOP]]="","",Islem_2026_08[[#This Row],[DOP]]/$T$3)</f>
        <v/>
      </c>
      <c r="K58" s="56"/>
    </row>
    <row r="59" s="1" customFormat="true" ht="20" hidden="false" customHeight="false" outlineLevel="0" collapsed="false">
      <c r="B59" s="53"/>
      <c r="C59" s="48"/>
      <c r="D59" s="55"/>
      <c r="E59" s="48"/>
      <c r="F59" s="55"/>
      <c r="G59" s="50"/>
      <c r="H59" s="49"/>
      <c r="I59" s="51" t="str">
        <f aca="false">IF(Islem_2026_08[[#This Row],[Tutar]]="","",IF(Islem_2026_08[[#This Row],[Para birimi]]="USD",Islem_2026_08[[#This Row],[Tutar]]*$T$3,Islem_2026_08[[#This Row],[Tutar]]))</f>
        <v/>
      </c>
      <c r="J59" s="52" t="str">
        <f aca="false">IF(Islem_2026_08[[#This Row],[DOP]]="","",Islem_2026_08[[#This Row],[DOP]]/$T$3)</f>
        <v/>
      </c>
      <c r="K59" s="56"/>
    </row>
    <row r="60" s="1" customFormat="true" ht="20" hidden="false" customHeight="false" outlineLevel="0" collapsed="false">
      <c r="B60" s="53"/>
      <c r="C60" s="48"/>
      <c r="D60" s="55"/>
      <c r="E60" s="48"/>
      <c r="F60" s="55"/>
      <c r="G60" s="50"/>
      <c r="H60" s="49"/>
      <c r="I60" s="51" t="str">
        <f aca="false">IF(Islem_2026_08[[#This Row],[Tutar]]="","",IF(Islem_2026_08[[#This Row],[Para birimi]]="USD",Islem_2026_08[[#This Row],[Tutar]]*$T$3,Islem_2026_08[[#This Row],[Tutar]]))</f>
        <v/>
      </c>
      <c r="J60" s="52" t="str">
        <f aca="false">IF(Islem_2026_08[[#This Row],[DOP]]="","",Islem_2026_08[[#This Row],[DOP]]/$T$3)</f>
        <v/>
      </c>
      <c r="K60" s="56"/>
    </row>
  </sheetData>
  <mergeCells count="38">
    <mergeCell ref="N1:Q1"/>
    <mergeCell ref="B5:D5"/>
    <mergeCell ref="B6:D6"/>
    <mergeCell ref="G6:H6"/>
    <mergeCell ref="O6:Q6"/>
    <mergeCell ref="G8:H8"/>
    <mergeCell ref="O8:Q8"/>
    <mergeCell ref="G9:H9"/>
    <mergeCell ref="O9:Q9"/>
    <mergeCell ref="G10:H10"/>
    <mergeCell ref="O10:Q10"/>
    <mergeCell ref="C11:D11"/>
    <mergeCell ref="O11:Q11"/>
    <mergeCell ref="H14:K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O28:Q28"/>
    <mergeCell ref="H37:K37"/>
  </mergeCells>
  <conditionalFormatting sqref="C11">
    <cfRule type="cellIs" priority="2" operator="lessThan" aboveAverage="0" equalAverage="0" bottom="0" percent="0" rank="0" text="" dxfId="7">
      <formula>0</formula>
    </cfRule>
  </conditionalFormatting>
  <conditionalFormatting sqref="O9:O10">
    <cfRule type="cellIs" priority="3" operator="lessThan" aboveAverage="0" equalAverage="0" bottom="0" percent="0" rank="0" text="" dxfId="7">
      <formula>0</formula>
    </cfRule>
  </conditionalFormatting>
  <conditionalFormatting sqref="B16:B30">
    <cfRule type="cellIs" priority="4" operator="equal" aboveAverage="0" equalAverage="0" bottom="0" percent="0" rank="0" text="" dxfId="8">
      <formula>"Evet"</formula>
    </cfRule>
    <cfRule type="cellIs" priority="5" operator="equal" aboveAverage="0" equalAverage="0" bottom="0" percent="0" rank="0" text="" dxfId="9">
      <formula>"Hayır"</formula>
    </cfRule>
  </conditionalFormatting>
  <conditionalFormatting sqref="O15:P15">
    <cfRule type="dataBar" priority="6">
      <dataBar showValue="0" minLength="10" maxLength="90">
        <cfvo type="num" val="0"/>
        <cfvo type="formula" val="MAX($Q$15:$Q$25)"/>
        <color rgb="FF2B3A33"/>
      </dataBar>
      <extLst>
        <ext xmlns:x14="http://schemas.microsoft.com/office/spreadsheetml/2009/9/main" uri="{B025F937-C7B1-47D3-B67F-A62EFF666E3E}">
          <x14:id>{7F421E8A-FDFE-4F8A-B1E7-9D30562A78FA}</x14:id>
        </ext>
      </extLst>
    </cfRule>
  </conditionalFormatting>
  <conditionalFormatting sqref="O16:P25">
    <cfRule type="dataBar" priority="7">
      <dataBar showValue="0" minLength="10" maxLength="90">
        <cfvo type="num" val="0"/>
        <cfvo type="formula" val="MAX($Q$15:$Q$25)"/>
        <color rgb="FF2F7D52"/>
      </dataBar>
      <extLst>
        <ext xmlns:x14="http://schemas.microsoft.com/office/spreadsheetml/2009/9/main" uri="{B025F937-C7B1-47D3-B67F-A62EFF666E3E}">
          <x14:id>{B5C1CB6F-C6AA-444F-8ED0-101D7E8D14FD}</x14:id>
        </ext>
      </extLst>
    </cfRule>
  </conditionalFormatting>
  <dataValidations count="6">
    <dataValidation allowBlank="true" errorStyle="stop" operator="between" showDropDown="false" showErrorMessage="true" showInputMessage="false" sqref="B16:B30" type="list">
      <formula1>"Evet,Hayır"</formula1>
      <formula2>0</formula2>
    </dataValidation>
    <dataValidation allowBlank="true" errorStyle="stop" operator="between" showDropDown="false" showErrorMessage="true" showInputMessage="false" sqref="F16:F30" type="list">
      <formula1>"DOP,USD"</formula1>
      <formula2>0</formula2>
    </dataValidation>
    <dataValidation allowBlank="true" errorStyle="stop" operator="between" showDropDown="false" showErrorMessage="true" showInputMessage="false" sqref="N30:N34" type="list">
      <formula1>"Remitly,PayPal"</formula1>
      <formula2>0</formula2>
    </dataValidation>
    <dataValidation allowBlank="true" errorStyle="stop" operator="between" showDropDown="false" showErrorMessage="true" showInputMessage="false" sqref="E39:E1060" type="list">
      <formula1>Config!$E$4:$E$13</formula1>
      <formula2>0</formula2>
    </dataValidation>
    <dataValidation allowBlank="true" errorStyle="stop" operator="between" showDropDown="false" showErrorMessage="true" showInputMessage="false" sqref="F39:F1060" type="list">
      <formula1>Config!$F$4:$F$6</formula1>
      <formula2>0</formula2>
    </dataValidation>
    <dataValidation allowBlank="true" errorStyle="stop" operator="between" showDropDown="false" showErrorMessage="true" showInputMessage="false" sqref="H39:H1060" type="list">
      <formula1>"DOP,USD"</formula1>
      <formula2>0</formula2>
    </dataValidation>
  </dataValidation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421E8A-FDFE-4F8A-B1E7-9D30562A78FA}">
            <x14:dataBar minLength="10" maxLength="90" axisPosition="none" gradient="true">
              <x14:cfvo type="num">
                <xm:f>0</xm:f>
              </x14:cfvo>
              <x14:cfvo type="formula">
                <xm:f>MAX($Q$15:$Q$25)</xm:f>
              </x14:cfvo>
              <x14:negativeFillColor rgb="FF2B3A33"/>
              <x14:axisColor rgb="FF000000"/>
            </x14:dataBar>
          </x14:cfRule>
          <xm:sqref>O15:P15</xm:sqref>
        </x14:conditionalFormatting>
        <x14:conditionalFormatting xmlns:xm="http://schemas.microsoft.com/office/excel/2006/main">
          <x14:cfRule type="dataBar" id="{B5C1CB6F-C6AA-444F-8ED0-101D7E8D14FD}">
            <x14:dataBar minLength="10" maxLength="90" axisPosition="none" gradient="true">
              <x14:cfvo type="num">
                <xm:f>0</xm:f>
              </x14:cfvo>
              <x14:cfvo type="formula">
                <xm:f>MAX($Q$15:$Q$25)</xm:f>
              </x14:cfvo>
              <x14:negativeFillColor rgb="FF2F7D52"/>
              <x14:axisColor rgb="FF000000"/>
            </x14:dataBar>
          </x14:cfRule>
          <xm:sqref>O16:P25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D52"/>
    <pageSetUpPr fitToPage="false"/>
  </sheetPr>
  <dimension ref="A1:T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20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8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3"/>
    <col collapsed="false" customWidth="true" hidden="false" outlineLevel="0" max="13" min="13" style="1" width="11"/>
    <col collapsed="false" customWidth="true" hidden="false" outlineLevel="0" max="15" min="14" style="1" width="1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9" min="18" style="1" width="2"/>
    <col collapsed="false" customWidth="true" hidden="true" outlineLevel="0" max="20" min="20" style="1" width="14"/>
    <col collapsed="false" customWidth="true" hidden="false" outlineLevel="0" max="60" min="21" style="1" width="9"/>
  </cols>
  <sheetData>
    <row r="1" s="1" customFormat="true" ht="26" hidden="false" customHeight="true" outlineLevel="0" collapsed="false">
      <c r="A1" s="2"/>
      <c r="B1" s="3" t="s">
        <v>0</v>
      </c>
      <c r="C1" s="2"/>
      <c r="D1" s="4" t="s">
        <v>85</v>
      </c>
      <c r="E1" s="2"/>
      <c r="F1" s="2"/>
      <c r="G1" s="2"/>
      <c r="H1" s="2"/>
      <c r="I1" s="2"/>
      <c r="J1" s="2"/>
      <c r="K1" s="2"/>
      <c r="L1" s="2"/>
      <c r="M1" s="5" t="s">
        <v>2</v>
      </c>
      <c r="N1" s="6" t="str">
        <f aca="false">"1 USD = "&amp;FIXED($T$3,2)&amp;" DOP"</f>
        <v>1 USD = 58.57 DOP</v>
      </c>
      <c r="O1" s="6"/>
      <c r="P1" s="6"/>
      <c r="Q1" s="6"/>
      <c r="R1" s="2"/>
    </row>
    <row r="2" s="1" customFormat="true" ht="16" hidden="false" customHeight="true" outlineLevel="0" collapsed="false">
      <c r="B2" s="7" t="s">
        <v>3</v>
      </c>
      <c r="T2" s="8" t="s">
        <v>4</v>
      </c>
    </row>
    <row r="3" s="1" customFormat="true" ht="6" hidden="false" customHeight="true" outlineLevel="0" collapsed="false">
      <c r="T3" s="9" t="n">
        <f aca="false">IFERROR(SUMPRODUCT(Transfer_2026_09[USD],Transfer_2026_09[Kur])/SUM(Transfer_2026_09[USD]),Config!$C$4)</f>
        <v>58.574347826087</v>
      </c>
    </row>
    <row r="4" s="1" customFormat="true" ht="18" hidden="false" customHeight="true" outlineLevel="0" collapsed="false">
      <c r="B4" s="10" t="s">
        <v>5</v>
      </c>
      <c r="C4" s="11"/>
      <c r="D4" s="12"/>
      <c r="E4" s="13"/>
      <c r="F4" s="11"/>
      <c r="G4" s="14" t="s">
        <v>6</v>
      </c>
      <c r="H4" s="11"/>
      <c r="I4" s="12"/>
      <c r="J4" s="10" t="str">
        <f aca="false">UPPER($D$1)</f>
        <v>EYLÜL 2026</v>
      </c>
      <c r="K4" s="11"/>
      <c r="L4" s="11"/>
      <c r="M4" s="11"/>
      <c r="N4" s="11"/>
      <c r="O4" s="11"/>
      <c r="P4" s="11"/>
      <c r="Q4" s="12"/>
      <c r="T4" s="9" t="n">
        <f aca="false">SUMIFS(Sabit_2026_09[DOP],Sabit_2026_09[Ödendi],"Evet")</f>
        <v>42081.5408695652</v>
      </c>
    </row>
    <row r="5" s="1" customFormat="true" ht="28" hidden="false" customHeight="true" outlineLevel="0" collapsed="false">
      <c r="B5" s="15" t="n">
        <f aca="false">C8*$T$3+C9</f>
        <v>321654.826086957</v>
      </c>
      <c r="C5" s="15"/>
      <c r="D5" s="15"/>
      <c r="E5" s="16"/>
      <c r="F5" s="17"/>
      <c r="G5" s="17"/>
      <c r="H5" s="17"/>
      <c r="I5" s="18"/>
      <c r="J5" s="19" t="str">
        <f aca="false">"Kullanılan bütçe: %"&amp;FIXED(100*$T$8/MAX(1,O6),1)</f>
        <v>Kullanılan bütçe: %95.2</v>
      </c>
      <c r="K5" s="17"/>
      <c r="L5" s="17"/>
      <c r="M5" s="17"/>
      <c r="N5" s="17"/>
      <c r="O5" s="17"/>
      <c r="P5" s="17"/>
      <c r="Q5" s="18"/>
      <c r="T5" s="9" t="n">
        <f aca="false">SUM(Islem_2026_09[DOP])</f>
        <v>24555</v>
      </c>
    </row>
    <row r="6" s="1" customFormat="true" ht="18" hidden="false" customHeight="true" outlineLevel="0" collapsed="false">
      <c r="B6" s="20" t="n">
        <f aca="false">C8+C9/$T$3</f>
        <v>5491.39406625545</v>
      </c>
      <c r="C6" s="20"/>
      <c r="D6" s="20"/>
      <c r="E6" s="16"/>
      <c r="F6" s="17"/>
      <c r="G6" s="21" t="s">
        <v>7</v>
      </c>
      <c r="H6" s="21"/>
      <c r="I6" s="22" t="n">
        <f aca="false">$T$4</f>
        <v>42081.5408695652</v>
      </c>
      <c r="J6" s="23" t="s">
        <v>8</v>
      </c>
      <c r="K6" s="24"/>
      <c r="L6" s="24"/>
      <c r="M6" s="24"/>
      <c r="N6" s="24"/>
      <c r="O6" s="25" t="n">
        <v>70000</v>
      </c>
      <c r="P6" s="25"/>
      <c r="Q6" s="25"/>
      <c r="T6" s="9" t="n">
        <f aca="false">SUMIFS(Sabit_2026_09[DOP],Sabit_2026_09[Ödendi],"Hayır")</f>
        <v>0</v>
      </c>
    </row>
    <row r="7" s="1" customFormat="true" ht="10" hidden="false" customHeight="true" outlineLevel="0" collapsed="false">
      <c r="B7" s="16"/>
      <c r="C7" s="17"/>
      <c r="D7" s="18"/>
      <c r="E7" s="16"/>
      <c r="F7" s="17"/>
      <c r="G7" s="17"/>
      <c r="H7" s="17"/>
      <c r="I7" s="18"/>
      <c r="J7" s="16"/>
      <c r="K7" s="17"/>
      <c r="L7" s="17"/>
      <c r="M7" s="17"/>
      <c r="N7" s="17"/>
      <c r="O7" s="17"/>
      <c r="P7" s="17"/>
      <c r="Q7" s="18"/>
      <c r="T7" s="9" t="n">
        <f aca="false">MAX(0,O6-T4-T5-T6)</f>
        <v>3363.45913043479</v>
      </c>
    </row>
    <row r="8" s="1" customFormat="true" ht="20" hidden="false" customHeight="true" outlineLevel="0" collapsed="false">
      <c r="B8" s="26" t="s">
        <v>9</v>
      </c>
      <c r="C8" s="27" t="n">
        <v>4100</v>
      </c>
      <c r="D8" s="28" t="s">
        <v>10</v>
      </c>
      <c r="E8" s="16"/>
      <c r="F8" s="17"/>
      <c r="G8" s="29" t="s">
        <v>11</v>
      </c>
      <c r="H8" s="29"/>
      <c r="I8" s="22" t="n">
        <f aca="false">$T$5</f>
        <v>24555</v>
      </c>
      <c r="J8" s="30" t="s">
        <v>12</v>
      </c>
      <c r="K8" s="24"/>
      <c r="L8" s="24"/>
      <c r="M8" s="24"/>
      <c r="N8" s="24"/>
      <c r="O8" s="31" t="n">
        <f aca="false">$T$8</f>
        <v>66636.5408695652</v>
      </c>
      <c r="P8" s="31"/>
      <c r="Q8" s="31"/>
      <c r="T8" s="9" t="n">
        <f aca="false">T4+T5</f>
        <v>66636.5408695652</v>
      </c>
    </row>
    <row r="9" s="1" customFormat="true" ht="20" hidden="false" customHeight="true" outlineLevel="0" collapsed="false">
      <c r="B9" s="26" t="s">
        <v>13</v>
      </c>
      <c r="C9" s="27" t="n">
        <v>81500</v>
      </c>
      <c r="D9" s="28" t="s">
        <v>14</v>
      </c>
      <c r="E9" s="16"/>
      <c r="F9" s="17"/>
      <c r="G9" s="32" t="s">
        <v>15</v>
      </c>
      <c r="H9" s="32"/>
      <c r="I9" s="22" t="n">
        <f aca="false">$T$6</f>
        <v>0</v>
      </c>
      <c r="J9" s="30" t="s">
        <v>16</v>
      </c>
      <c r="K9" s="24"/>
      <c r="L9" s="24"/>
      <c r="M9" s="24"/>
      <c r="N9" s="24"/>
      <c r="O9" s="33" t="n">
        <f aca="false">O6-O8</f>
        <v>3363.45913043479</v>
      </c>
      <c r="P9" s="33"/>
      <c r="Q9" s="33"/>
      <c r="T9" s="9" t="str">
        <f aca="false">FIXED(T8,0)</f>
        <v>66,637</v>
      </c>
    </row>
    <row r="10" s="1" customFormat="true" ht="20" hidden="false" customHeight="true" outlineLevel="0" collapsed="false">
      <c r="B10" s="26" t="s">
        <v>17</v>
      </c>
      <c r="C10" s="27" t="n">
        <v>5800</v>
      </c>
      <c r="D10" s="28" t="s">
        <v>10</v>
      </c>
      <c r="E10" s="16"/>
      <c r="F10" s="17"/>
      <c r="G10" s="34" t="s">
        <v>18</v>
      </c>
      <c r="H10" s="34"/>
      <c r="I10" s="22" t="n">
        <f aca="false">$T$7</f>
        <v>3363.45913043479</v>
      </c>
      <c r="J10" s="26" t="s">
        <v>19</v>
      </c>
      <c r="K10" s="24"/>
      <c r="L10" s="24"/>
      <c r="M10" s="24"/>
      <c r="N10" s="24"/>
      <c r="O10" s="35" t="n">
        <f aca="false">O9-$T$6</f>
        <v>3363.45913043479</v>
      </c>
      <c r="P10" s="35"/>
      <c r="Q10" s="35"/>
      <c r="T10" s="9" t="str">
        <f aca="false">"/ "&amp;FIXED(O6,0)&amp;" DOP"</f>
        <v>/ 70,000 DOP</v>
      </c>
    </row>
    <row r="11" s="1" customFormat="true" ht="20" hidden="false" customHeight="true" outlineLevel="0" collapsed="false">
      <c r="B11" s="36" t="s">
        <v>20</v>
      </c>
      <c r="C11" s="37" t="n">
        <f aca="false">C10*$T$3-$T$8</f>
        <v>273094.676521739</v>
      </c>
      <c r="D11" s="37"/>
      <c r="E11" s="16"/>
      <c r="F11" s="17"/>
      <c r="G11" s="17"/>
      <c r="H11" s="17"/>
      <c r="I11" s="18"/>
      <c r="J11" s="26" t="s">
        <v>21</v>
      </c>
      <c r="K11" s="24"/>
      <c r="L11" s="24"/>
      <c r="M11" s="24"/>
      <c r="N11" s="24"/>
      <c r="O11" s="35" t="n">
        <f aca="false">$T$8/$T$3</f>
        <v>1137.64033818039</v>
      </c>
      <c r="P11" s="35"/>
      <c r="Q11" s="35"/>
    </row>
    <row r="12" s="1" customFormat="true" ht="10" hidden="false" customHeight="true" outlineLevel="0" collapsed="false">
      <c r="B12" s="38"/>
      <c r="C12" s="39"/>
      <c r="D12" s="40"/>
      <c r="E12" s="38"/>
      <c r="F12" s="39"/>
      <c r="G12" s="39"/>
      <c r="H12" s="39"/>
      <c r="I12" s="40"/>
      <c r="J12" s="38"/>
      <c r="K12" s="39"/>
      <c r="L12" s="39"/>
      <c r="M12" s="39"/>
      <c r="N12" s="39"/>
      <c r="O12" s="39"/>
      <c r="P12" s="39"/>
      <c r="Q12" s="40"/>
    </row>
    <row r="13" s="1" customFormat="true" ht="10" hidden="false" customHeight="true" outlineLevel="0" collapsed="false"/>
    <row r="14" s="1" customFormat="true" ht="26" hidden="false" customHeight="true" outlineLevel="0" collapsed="false">
      <c r="B14" s="41" t="s">
        <v>22</v>
      </c>
      <c r="C14" s="11"/>
      <c r="D14" s="11"/>
      <c r="E14" s="11"/>
      <c r="F14" s="11"/>
      <c r="G14" s="11"/>
      <c r="H14" s="42" t="str">
        <f aca="false">COUNTIFS(Sabit_2026_09[Ödendi],"Evet")&amp;" / "&amp;COUNTA(Sabit_2026_09[Kalem])&amp;" ödendi · toplam "&amp;FIXED(SUM(Sabit_2026_09[DOP]),2)&amp;" DOP"</f>
        <v>11 / 11 ödendi · toplam 42,081.54 DOP</v>
      </c>
      <c r="I14" s="42"/>
      <c r="J14" s="42"/>
      <c r="K14" s="42"/>
      <c r="M14" s="41" t="s">
        <v>23</v>
      </c>
      <c r="N14" s="11"/>
      <c r="O14" s="11"/>
      <c r="P14" s="11"/>
      <c r="Q14" s="42" t="s">
        <v>14</v>
      </c>
    </row>
    <row r="15" s="1" customFormat="true" ht="20" hidden="false" customHeight="false" outlineLevel="0" collapsed="false">
      <c r="B15" s="43" t="s">
        <v>24</v>
      </c>
      <c r="C15" s="44" t="s">
        <v>25</v>
      </c>
      <c r="D15" s="44" t="s">
        <v>26</v>
      </c>
      <c r="E15" s="45" t="s">
        <v>27</v>
      </c>
      <c r="F15" s="44" t="s">
        <v>28</v>
      </c>
      <c r="G15" s="45" t="s">
        <v>14</v>
      </c>
      <c r="H15" s="45" t="s">
        <v>10</v>
      </c>
      <c r="I15" s="17"/>
      <c r="J15" s="17"/>
      <c r="K15" s="18"/>
      <c r="M15" s="16" t="s">
        <v>29</v>
      </c>
      <c r="N15" s="16"/>
      <c r="O15" s="46" t="n">
        <f aca="false">Q15</f>
        <v>42081.5408695652</v>
      </c>
      <c r="P15" s="46"/>
      <c r="Q15" s="22" t="n">
        <f aca="false">$T$4</f>
        <v>42081.5408695652</v>
      </c>
    </row>
    <row r="16" s="1" customFormat="true" ht="20" hidden="false" customHeight="false" outlineLevel="0" collapsed="false">
      <c r="B16" s="47" t="s">
        <v>30</v>
      </c>
      <c r="C16" s="48" t="s">
        <v>31</v>
      </c>
      <c r="D16" s="49"/>
      <c r="E16" s="50" t="n">
        <v>1412.8</v>
      </c>
      <c r="F16" s="49" t="s">
        <v>14</v>
      </c>
      <c r="G16" s="51" t="n">
        <f aca="false">IF(Sabit_2026_09[[#This Row],[Tutar]]="","",IF(Sabit_2026_09[[#This Row],[Para birimi]]="USD",Sabit_2026_09[[#This Row],[Tutar]]*$T$3,Sabit_2026_09[[#This Row],[Tutar]]))</f>
        <v>1412.8</v>
      </c>
      <c r="H16" s="52" t="n">
        <f aca="false">IF(Sabit_2026_09[[#This Row],[DOP]]="","",Sabit_2026_09[[#This Row],[DOP]]/$T$3)</f>
        <v>24.1197734577386</v>
      </c>
      <c r="I16" s="17"/>
      <c r="J16" s="17"/>
      <c r="K16" s="18"/>
      <c r="M16" s="16" t="s">
        <v>32</v>
      </c>
      <c r="N16" s="16"/>
      <c r="O16" s="46" t="n">
        <f aca="false">Q16</f>
        <v>1420</v>
      </c>
      <c r="P16" s="46"/>
      <c r="Q16" s="22" t="n">
        <f aca="false">SUMIFS(Islem_2026_09[DOP],Islem_2026_09[Kategori],M16)</f>
        <v>1420</v>
      </c>
    </row>
    <row r="17" s="1" customFormat="true" ht="20" hidden="false" customHeight="false" outlineLevel="0" collapsed="false">
      <c r="B17" s="47" t="s">
        <v>30</v>
      </c>
      <c r="C17" s="48" t="s">
        <v>33</v>
      </c>
      <c r="D17" s="49"/>
      <c r="E17" s="50" t="n">
        <v>2699</v>
      </c>
      <c r="F17" s="49" t="s">
        <v>14</v>
      </c>
      <c r="G17" s="51" t="n">
        <f aca="false">IF(Sabit_2026_09[[#This Row],[Tutar]]="","",IF(Sabit_2026_09[[#This Row],[Para birimi]]="USD",Sabit_2026_09[[#This Row],[Tutar]]*$T$3,Sabit_2026_09[[#This Row],[Tutar]]))</f>
        <v>2699</v>
      </c>
      <c r="H17" s="52" t="n">
        <f aca="false">IF(Sabit_2026_09[[#This Row],[DOP]]="","",Sabit_2026_09[[#This Row],[DOP]]/$T$3)</f>
        <v>46.0781912248276</v>
      </c>
      <c r="I17" s="17"/>
      <c r="J17" s="17"/>
      <c r="K17" s="18"/>
      <c r="M17" s="16" t="s">
        <v>34</v>
      </c>
      <c r="N17" s="16"/>
      <c r="O17" s="46" t="n">
        <f aca="false">Q17</f>
        <v>10295</v>
      </c>
      <c r="P17" s="46"/>
      <c r="Q17" s="22" t="n">
        <f aca="false">SUMIFS(Islem_2026_09[DOP],Islem_2026_09[Kategori],M17)</f>
        <v>10295</v>
      </c>
    </row>
    <row r="18" s="1" customFormat="true" ht="20" hidden="false" customHeight="false" outlineLevel="0" collapsed="false">
      <c r="B18" s="47" t="s">
        <v>30</v>
      </c>
      <c r="C18" s="48" t="s">
        <v>35</v>
      </c>
      <c r="D18" s="49"/>
      <c r="E18" s="50" t="n">
        <v>5640</v>
      </c>
      <c r="F18" s="49" t="s">
        <v>14</v>
      </c>
      <c r="G18" s="51" t="n">
        <f aca="false">IF(Sabit_2026_09[[#This Row],[Tutar]]="","",IF(Sabit_2026_09[[#This Row],[Para birimi]]="USD",Sabit_2026_09[[#This Row],[Tutar]]*$T$3,Sabit_2026_09[[#This Row],[Tutar]]))</f>
        <v>5640</v>
      </c>
      <c r="H18" s="52" t="n">
        <f aca="false">IF(Sabit_2026_09[[#This Row],[DOP]]="","",Sabit_2026_09[[#This Row],[DOP]]/$T$3)</f>
        <v>96.2878838488432</v>
      </c>
      <c r="I18" s="17"/>
      <c r="J18" s="17"/>
      <c r="K18" s="18"/>
      <c r="M18" s="16" t="s">
        <v>36</v>
      </c>
      <c r="N18" s="16"/>
      <c r="O18" s="46" t="n">
        <f aca="false">Q18</f>
        <v>4360</v>
      </c>
      <c r="P18" s="46"/>
      <c r="Q18" s="22" t="n">
        <f aca="false">SUMIFS(Islem_2026_09[DOP],Islem_2026_09[Kategori],M18)</f>
        <v>4360</v>
      </c>
    </row>
    <row r="19" s="1" customFormat="true" ht="20" hidden="false" customHeight="false" outlineLevel="0" collapsed="false">
      <c r="B19" s="47" t="s">
        <v>30</v>
      </c>
      <c r="C19" s="48" t="s">
        <v>37</v>
      </c>
      <c r="D19" s="49"/>
      <c r="E19" s="50" t="n">
        <v>15000</v>
      </c>
      <c r="F19" s="49" t="s">
        <v>14</v>
      </c>
      <c r="G19" s="51" t="n">
        <f aca="false">IF(Sabit_2026_09[[#This Row],[Tutar]]="","",IF(Sabit_2026_09[[#This Row],[Para birimi]]="USD",Sabit_2026_09[[#This Row],[Tutar]]*$T$3,Sabit_2026_09[[#This Row],[Tutar]]))</f>
        <v>15000</v>
      </c>
      <c r="H19" s="52" t="n">
        <f aca="false">IF(Sabit_2026_09[[#This Row],[DOP]]="","",Sabit_2026_09[[#This Row],[DOP]]/$T$3)</f>
        <v>256.084797470328</v>
      </c>
      <c r="I19" s="17"/>
      <c r="J19" s="17"/>
      <c r="K19" s="18"/>
      <c r="M19" s="16" t="s">
        <v>38</v>
      </c>
      <c r="N19" s="16"/>
      <c r="O19" s="46" t="n">
        <f aca="false">Q19</f>
        <v>850</v>
      </c>
      <c r="P19" s="46"/>
      <c r="Q19" s="22" t="n">
        <f aca="false">SUMIFS(Islem_2026_09[DOP],Islem_2026_09[Kategori],M19)</f>
        <v>850</v>
      </c>
    </row>
    <row r="20" s="1" customFormat="true" ht="20" hidden="false" customHeight="false" outlineLevel="0" collapsed="false">
      <c r="B20" s="47" t="s">
        <v>30</v>
      </c>
      <c r="C20" s="48" t="s">
        <v>39</v>
      </c>
      <c r="D20" s="49" t="n">
        <v>5</v>
      </c>
      <c r="E20" s="50" t="n">
        <v>106</v>
      </c>
      <c r="F20" s="49" t="s">
        <v>10</v>
      </c>
      <c r="G20" s="51" t="n">
        <f aca="false">IF(Sabit_2026_09[[#This Row],[Tutar]]="","",IF(Sabit_2026_09[[#This Row],[Para birimi]]="USD",Sabit_2026_09[[#This Row],[Tutar]]*$T$3,Sabit_2026_09[[#This Row],[Tutar]]))</f>
        <v>6208.88086956522</v>
      </c>
      <c r="H20" s="52" t="n">
        <f aca="false">IF(Sabit_2026_09[[#This Row],[DOP]]="","",Sabit_2026_09[[#This Row],[DOP]]/$T$3)</f>
        <v>106</v>
      </c>
      <c r="I20" s="17"/>
      <c r="J20" s="17"/>
      <c r="K20" s="18"/>
      <c r="M20" s="16" t="s">
        <v>40</v>
      </c>
      <c r="N20" s="16"/>
      <c r="O20" s="46" t="n">
        <f aca="false">Q20</f>
        <v>980</v>
      </c>
      <c r="P20" s="46"/>
      <c r="Q20" s="22" t="n">
        <f aca="false">SUMIFS(Islem_2026_09[DOP],Islem_2026_09[Kategori],M20)</f>
        <v>980</v>
      </c>
    </row>
    <row r="21" s="1" customFormat="true" ht="20" hidden="false" customHeight="false" outlineLevel="0" collapsed="false">
      <c r="B21" s="47" t="s">
        <v>30</v>
      </c>
      <c r="C21" s="48" t="s">
        <v>41</v>
      </c>
      <c r="D21" s="49" t="n">
        <v>16</v>
      </c>
      <c r="E21" s="50" t="n">
        <v>121.56</v>
      </c>
      <c r="F21" s="49" t="s">
        <v>14</v>
      </c>
      <c r="G21" s="51" t="n">
        <f aca="false">IF(Sabit_2026_09[[#This Row],[Tutar]]="","",IF(Sabit_2026_09[[#This Row],[Para birimi]]="USD",Sabit_2026_09[[#This Row],[Tutar]]*$T$3,Sabit_2026_09[[#This Row],[Tutar]]))</f>
        <v>121.56</v>
      </c>
      <c r="H21" s="52" t="n">
        <f aca="false">IF(Sabit_2026_09[[#This Row],[DOP]]="","",Sabit_2026_09[[#This Row],[DOP]]/$T$3)</f>
        <v>2.07531119869953</v>
      </c>
      <c r="I21" s="17"/>
      <c r="J21" s="17"/>
      <c r="K21" s="18"/>
      <c r="M21" s="16" t="s">
        <v>42</v>
      </c>
      <c r="N21" s="16"/>
      <c r="O21" s="46" t="n">
        <f aca="false">Q21</f>
        <v>0</v>
      </c>
      <c r="P21" s="46"/>
      <c r="Q21" s="22" t="n">
        <f aca="false">SUMIFS(Islem_2026_09[DOP],Islem_2026_09[Kategori],M21)</f>
        <v>0</v>
      </c>
    </row>
    <row r="22" s="1" customFormat="true" ht="20" hidden="false" customHeight="false" outlineLevel="0" collapsed="false">
      <c r="B22" s="47" t="s">
        <v>30</v>
      </c>
      <c r="C22" s="48" t="s">
        <v>43</v>
      </c>
      <c r="D22" s="49" t="n">
        <v>17</v>
      </c>
      <c r="E22" s="50" t="n">
        <v>604</v>
      </c>
      <c r="F22" s="49" t="s">
        <v>14</v>
      </c>
      <c r="G22" s="51" t="n">
        <f aca="false">IF(Sabit_2026_09[[#This Row],[Tutar]]="","",IF(Sabit_2026_09[[#This Row],[Para birimi]]="USD",Sabit_2026_09[[#This Row],[Tutar]]*$T$3,Sabit_2026_09[[#This Row],[Tutar]]))</f>
        <v>604</v>
      </c>
      <c r="H22" s="52" t="n">
        <f aca="false">IF(Sabit_2026_09[[#This Row],[DOP]]="","",Sabit_2026_09[[#This Row],[DOP]]/$T$3)</f>
        <v>10.3116811781385</v>
      </c>
      <c r="I22" s="17"/>
      <c r="J22" s="17"/>
      <c r="K22" s="18"/>
      <c r="M22" s="16" t="s">
        <v>44</v>
      </c>
      <c r="N22" s="16"/>
      <c r="O22" s="46" t="n">
        <f aca="false">Q22</f>
        <v>0</v>
      </c>
      <c r="P22" s="46"/>
      <c r="Q22" s="22" t="n">
        <f aca="false">SUMIFS(Islem_2026_09[DOP],Islem_2026_09[Kategori],M22)</f>
        <v>0</v>
      </c>
    </row>
    <row r="23" s="1" customFormat="true" ht="20" hidden="false" customHeight="false" outlineLevel="0" collapsed="false">
      <c r="B23" s="47" t="s">
        <v>30</v>
      </c>
      <c r="C23" s="48" t="s">
        <v>45</v>
      </c>
      <c r="D23" s="49"/>
      <c r="E23" s="50" t="n">
        <v>308</v>
      </c>
      <c r="F23" s="49" t="s">
        <v>14</v>
      </c>
      <c r="G23" s="51" t="n">
        <f aca="false">IF(Sabit_2026_09[[#This Row],[Tutar]]="","",IF(Sabit_2026_09[[#This Row],[Para birimi]]="USD",Sabit_2026_09[[#This Row],[Tutar]]*$T$3,Sabit_2026_09[[#This Row],[Tutar]]))</f>
        <v>308</v>
      </c>
      <c r="H23" s="52" t="n">
        <f aca="false">IF(Sabit_2026_09[[#This Row],[DOP]]="","",Sabit_2026_09[[#This Row],[DOP]]/$T$3)</f>
        <v>5.25827450805739</v>
      </c>
      <c r="I23" s="17"/>
      <c r="J23" s="17"/>
      <c r="K23" s="18"/>
      <c r="M23" s="16" t="s">
        <v>46</v>
      </c>
      <c r="N23" s="16"/>
      <c r="O23" s="46" t="n">
        <f aca="false">Q23</f>
        <v>0</v>
      </c>
      <c r="P23" s="46"/>
      <c r="Q23" s="22" t="n">
        <f aca="false">SUMIFS(Islem_2026_09[DOP],Islem_2026_09[Kategori],M23)</f>
        <v>0</v>
      </c>
    </row>
    <row r="24" s="1" customFormat="true" ht="20" hidden="false" customHeight="false" outlineLevel="0" collapsed="false">
      <c r="B24" s="47" t="s">
        <v>30</v>
      </c>
      <c r="C24" s="48" t="s">
        <v>47</v>
      </c>
      <c r="D24" s="49" t="n">
        <v>17</v>
      </c>
      <c r="E24" s="50" t="n">
        <v>1550</v>
      </c>
      <c r="F24" s="49" t="s">
        <v>14</v>
      </c>
      <c r="G24" s="51" t="n">
        <f aca="false">IF(Sabit_2026_09[[#This Row],[Tutar]]="","",IF(Sabit_2026_09[[#This Row],[Para birimi]]="USD",Sabit_2026_09[[#This Row],[Tutar]]*$T$3,Sabit_2026_09[[#This Row],[Tutar]]))</f>
        <v>1550</v>
      </c>
      <c r="H24" s="52" t="n">
        <f aca="false">IF(Sabit_2026_09[[#This Row],[DOP]]="","",Sabit_2026_09[[#This Row],[DOP]]/$T$3)</f>
        <v>26.4620957386005</v>
      </c>
      <c r="I24" s="17"/>
      <c r="J24" s="17"/>
      <c r="K24" s="18"/>
      <c r="M24" s="16" t="s">
        <v>48</v>
      </c>
      <c r="N24" s="16"/>
      <c r="O24" s="46" t="n">
        <f aca="false">Q24</f>
        <v>1850</v>
      </c>
      <c r="P24" s="46"/>
      <c r="Q24" s="22" t="n">
        <f aca="false">SUMIFS(Islem_2026_09[DOP],Islem_2026_09[Kategori],M24)</f>
        <v>1850</v>
      </c>
    </row>
    <row r="25" s="1" customFormat="true" ht="20" hidden="false" customHeight="false" outlineLevel="0" collapsed="false">
      <c r="B25" s="47" t="s">
        <v>30</v>
      </c>
      <c r="C25" s="48" t="s">
        <v>49</v>
      </c>
      <c r="D25" s="49"/>
      <c r="E25" s="50" t="n">
        <v>1137.3</v>
      </c>
      <c r="F25" s="49" t="s">
        <v>14</v>
      </c>
      <c r="G25" s="51" t="n">
        <f aca="false">IF(Sabit_2026_09[[#This Row],[Tutar]]="","",IF(Sabit_2026_09[[#This Row],[Para birimi]]="USD",Sabit_2026_09[[#This Row],[Tutar]]*$T$3,Sabit_2026_09[[#This Row],[Tutar]]))</f>
        <v>1137.3</v>
      </c>
      <c r="H25" s="52" t="n">
        <f aca="false">IF(Sabit_2026_09[[#This Row],[DOP]]="","",Sabit_2026_09[[#This Row],[DOP]]/$T$3)</f>
        <v>19.4163493442002</v>
      </c>
      <c r="I25" s="17"/>
      <c r="J25" s="17"/>
      <c r="K25" s="18"/>
      <c r="M25" s="16" t="s">
        <v>50</v>
      </c>
      <c r="N25" s="16"/>
      <c r="O25" s="46" t="n">
        <f aca="false">Q25</f>
        <v>4800</v>
      </c>
      <c r="P25" s="46"/>
      <c r="Q25" s="22" t="n">
        <f aca="false">SUMIFS(Islem_2026_09[DOP],Islem_2026_09[Kategori],M25)</f>
        <v>4800</v>
      </c>
    </row>
    <row r="26" s="1" customFormat="true" ht="20" hidden="false" customHeight="false" outlineLevel="0" collapsed="false">
      <c r="B26" s="47" t="s">
        <v>30</v>
      </c>
      <c r="C26" s="48" t="s">
        <v>51</v>
      </c>
      <c r="D26" s="49"/>
      <c r="E26" s="50" t="n">
        <v>7400</v>
      </c>
      <c r="F26" s="49" t="s">
        <v>14</v>
      </c>
      <c r="G26" s="51" t="n">
        <f aca="false">IF(Sabit_2026_09[[#This Row],[Tutar]]="","",IF(Sabit_2026_09[[#This Row],[Para birimi]]="USD",Sabit_2026_09[[#This Row],[Tutar]]*$T$3,Sabit_2026_09[[#This Row],[Tutar]]))</f>
        <v>7400</v>
      </c>
      <c r="H26" s="52" t="n">
        <f aca="false">IF(Sabit_2026_09[[#This Row],[DOP]]="","",Sabit_2026_09[[#This Row],[DOP]]/$T$3)</f>
        <v>126.335166752028</v>
      </c>
      <c r="I26" s="17"/>
      <c r="J26" s="17"/>
      <c r="K26" s="18"/>
      <c r="M26" s="38"/>
      <c r="N26" s="39"/>
      <c r="O26" s="39"/>
      <c r="P26" s="39"/>
      <c r="Q26" s="40"/>
    </row>
    <row r="27" s="1" customFormat="true" ht="20" hidden="false" customHeight="false" outlineLevel="0" collapsed="false">
      <c r="B27" s="47"/>
      <c r="C27" s="48"/>
      <c r="D27" s="49"/>
      <c r="E27" s="50"/>
      <c r="F27" s="49"/>
      <c r="G27" s="51" t="str">
        <f aca="false">IF(Sabit_2026_09[[#This Row],[Tutar]]="","",IF(Sabit_2026_09[[#This Row],[Para birimi]]="USD",Sabit_2026_09[[#This Row],[Tutar]]*$T$3,Sabit_2026_09[[#This Row],[Tutar]]))</f>
        <v/>
      </c>
      <c r="H27" s="52" t="str">
        <f aca="false">IF(Sabit_2026_09[[#This Row],[DOP]]="","",Sabit_2026_09[[#This Row],[DOP]]/$T$3)</f>
        <v/>
      </c>
      <c r="I27" s="17"/>
      <c r="J27" s="17"/>
      <c r="K27" s="18"/>
    </row>
    <row r="28" s="1" customFormat="true" ht="20" hidden="false" customHeight="false" outlineLevel="0" collapsed="false">
      <c r="B28" s="47"/>
      <c r="C28" s="48"/>
      <c r="D28" s="49"/>
      <c r="E28" s="50"/>
      <c r="F28" s="49"/>
      <c r="G28" s="51" t="str">
        <f aca="false">IF(Sabit_2026_09[[#This Row],[Tutar]]="","",IF(Sabit_2026_09[[#This Row],[Para birimi]]="USD",Sabit_2026_09[[#This Row],[Tutar]]*$T$3,Sabit_2026_09[[#This Row],[Tutar]]))</f>
        <v/>
      </c>
      <c r="H28" s="52" t="str">
        <f aca="false">IF(Sabit_2026_09[[#This Row],[DOP]]="","",Sabit_2026_09[[#This Row],[DOP]]/$T$3)</f>
        <v/>
      </c>
      <c r="I28" s="17"/>
      <c r="J28" s="17"/>
      <c r="K28" s="18"/>
      <c r="M28" s="41" t="s">
        <v>52</v>
      </c>
      <c r="N28" s="11"/>
      <c r="O28" s="42" t="str">
        <f aca="false">"Ortalama "&amp;FIXED($T$3,2)</f>
        <v>Ortalama 58.57</v>
      </c>
      <c r="P28" s="42"/>
      <c r="Q28" s="42"/>
    </row>
    <row r="29" s="1" customFormat="true" ht="20" hidden="false" customHeight="false" outlineLevel="0" collapsed="false">
      <c r="B29" s="47"/>
      <c r="C29" s="48"/>
      <c r="D29" s="49"/>
      <c r="E29" s="50"/>
      <c r="F29" s="49"/>
      <c r="G29" s="51" t="str">
        <f aca="false">IF(Sabit_2026_09[[#This Row],[Tutar]]="","",IF(Sabit_2026_09[[#This Row],[Para birimi]]="USD",Sabit_2026_09[[#This Row],[Tutar]]*$T$3,Sabit_2026_09[[#This Row],[Tutar]]))</f>
        <v/>
      </c>
      <c r="H29" s="52" t="str">
        <f aca="false">IF(Sabit_2026_09[[#This Row],[DOP]]="","",Sabit_2026_09[[#This Row],[DOP]]/$T$3)</f>
        <v/>
      </c>
      <c r="I29" s="17"/>
      <c r="J29" s="17"/>
      <c r="K29" s="18"/>
      <c r="M29" s="43" t="s">
        <v>53</v>
      </c>
      <c r="N29" s="44" t="s">
        <v>54</v>
      </c>
      <c r="O29" s="45" t="s">
        <v>10</v>
      </c>
      <c r="P29" s="45" t="s">
        <v>55</v>
      </c>
      <c r="Q29" s="45" t="s">
        <v>14</v>
      </c>
    </row>
    <row r="30" s="1" customFormat="true" ht="20" hidden="false" customHeight="false" outlineLevel="0" collapsed="false">
      <c r="B30" s="47"/>
      <c r="C30" s="48"/>
      <c r="D30" s="49"/>
      <c r="E30" s="50"/>
      <c r="F30" s="49"/>
      <c r="G30" s="51" t="str">
        <f aca="false">IF(Sabit_2026_09[[#This Row],[Tutar]]="","",IF(Sabit_2026_09[[#This Row],[Para birimi]]="USD",Sabit_2026_09[[#This Row],[Tutar]]*$T$3,Sabit_2026_09[[#This Row],[Tutar]]))</f>
        <v/>
      </c>
      <c r="H30" s="52" t="str">
        <f aca="false">IF(Sabit_2026_09[[#This Row],[DOP]]="","",Sabit_2026_09[[#This Row],[DOP]]/$T$3)</f>
        <v/>
      </c>
      <c r="I30" s="17"/>
      <c r="J30" s="17"/>
      <c r="K30" s="18"/>
      <c r="M30" s="53" t="n">
        <v>46267</v>
      </c>
      <c r="N30" s="48" t="s">
        <v>56</v>
      </c>
      <c r="O30" s="50" t="n">
        <v>1500</v>
      </c>
      <c r="P30" s="54" t="n">
        <v>58.55</v>
      </c>
      <c r="Q30" s="50" t="n">
        <f aca="false">IF(Transfer_2026_09[[#This Row],[USD]]="","",Transfer_2026_09[[#This Row],[USD]]*Transfer_2026_09[[#This Row],[Kur]])</f>
        <v>87825</v>
      </c>
    </row>
    <row r="31" s="1" customFormat="true" ht="6" hidden="false" customHeight="true" outlineLevel="0" collapsed="false">
      <c r="B31" s="38"/>
      <c r="C31" s="39"/>
      <c r="D31" s="39"/>
      <c r="E31" s="39"/>
      <c r="F31" s="39"/>
      <c r="G31" s="39"/>
      <c r="H31" s="39"/>
      <c r="I31" s="39"/>
      <c r="J31" s="39"/>
      <c r="K31" s="40"/>
      <c r="M31" s="53" t="n">
        <v>46282</v>
      </c>
      <c r="N31" s="48" t="s">
        <v>56</v>
      </c>
      <c r="O31" s="50" t="n">
        <v>800</v>
      </c>
      <c r="P31" s="54" t="n">
        <v>58.62</v>
      </c>
      <c r="Q31" s="50" t="n">
        <f aca="false">IF(Transfer_2026_09[[#This Row],[USD]]="","",Transfer_2026_09[[#This Row],[USD]]*Transfer_2026_09[[#This Row],[Kur]])</f>
        <v>46896</v>
      </c>
    </row>
    <row r="32" s="1" customFormat="true" ht="20" hidden="false" customHeight="false" outlineLevel="0" collapsed="false">
      <c r="M32" s="53"/>
      <c r="N32" s="48"/>
      <c r="O32" s="50"/>
      <c r="P32" s="54"/>
      <c r="Q32" s="50" t="str">
        <f aca="false">IF(Transfer_2026_09[[#This Row],[USD]]="","",Transfer_2026_09[[#This Row],[USD]]*Transfer_2026_09[[#This Row],[Kur]])</f>
        <v/>
      </c>
    </row>
    <row r="33" s="1" customFormat="true" ht="20" hidden="false" customHeight="false" outlineLevel="0" collapsed="false">
      <c r="M33" s="53"/>
      <c r="N33" s="48"/>
      <c r="O33" s="50"/>
      <c r="P33" s="54"/>
      <c r="Q33" s="50" t="str">
        <f aca="false">IF(Transfer_2026_09[[#This Row],[USD]]="","",Transfer_2026_09[[#This Row],[USD]]*Transfer_2026_09[[#This Row],[Kur]])</f>
        <v/>
      </c>
    </row>
    <row r="34" s="1" customFormat="true" ht="20" hidden="false" customHeight="false" outlineLevel="0" collapsed="false">
      <c r="M34" s="53"/>
      <c r="N34" s="48"/>
      <c r="O34" s="50"/>
      <c r="P34" s="54"/>
      <c r="Q34" s="50" t="str">
        <f aca="false">IF(Transfer_2026_09[[#This Row],[USD]]="","",Transfer_2026_09[[#This Row],[USD]]*Transfer_2026_09[[#This Row],[Kur]])</f>
        <v/>
      </c>
    </row>
    <row r="35" s="1" customFormat="true" ht="6" hidden="false" customHeight="true" outlineLevel="0" collapsed="false">
      <c r="M35" s="38"/>
      <c r="N35" s="39"/>
      <c r="O35" s="39"/>
      <c r="P35" s="39"/>
      <c r="Q35" s="40"/>
    </row>
    <row r="37" s="1" customFormat="true" ht="26" hidden="false" customHeight="true" outlineLevel="0" collapsed="false">
      <c r="B37" s="41" t="s">
        <v>58</v>
      </c>
      <c r="C37" s="11"/>
      <c r="D37" s="11"/>
      <c r="E37" s="11"/>
      <c r="F37" s="11"/>
      <c r="G37" s="11"/>
      <c r="H37" s="42" t="str">
        <f aca="false">COUNT(Islem_2026_09[Tutar])&amp;" işlem · toplam "&amp;FIXED($T$5,2)&amp;" DOP"</f>
        <v>10 işlem · toplam 24,555.00 DOP</v>
      </c>
      <c r="I37" s="42"/>
      <c r="J37" s="42"/>
      <c r="K37" s="42"/>
    </row>
    <row r="38" s="1" customFormat="true" ht="20" hidden="false" customHeight="false" outlineLevel="0" collapsed="false">
      <c r="B38" s="43" t="s">
        <v>53</v>
      </c>
      <c r="C38" s="44" t="s">
        <v>59</v>
      </c>
      <c r="D38" s="44" t="s">
        <v>60</v>
      </c>
      <c r="E38" s="44" t="s">
        <v>61</v>
      </c>
      <c r="F38" s="44" t="s">
        <v>62</v>
      </c>
      <c r="G38" s="45" t="s">
        <v>27</v>
      </c>
      <c r="H38" s="44" t="s">
        <v>28</v>
      </c>
      <c r="I38" s="45" t="s">
        <v>14</v>
      </c>
      <c r="J38" s="45" t="s">
        <v>10</v>
      </c>
      <c r="K38" s="44" t="s">
        <v>63</v>
      </c>
    </row>
    <row r="39" s="1" customFormat="true" ht="20" hidden="false" customHeight="false" outlineLevel="0" collapsed="false">
      <c r="B39" s="53" t="n">
        <v>46266</v>
      </c>
      <c r="C39" s="48" t="s">
        <v>64</v>
      </c>
      <c r="D39" s="55" t="s">
        <v>86</v>
      </c>
      <c r="E39" s="48" t="s">
        <v>34</v>
      </c>
      <c r="F39" s="55" t="s">
        <v>66</v>
      </c>
      <c r="G39" s="50" t="n">
        <v>4975</v>
      </c>
      <c r="H39" s="49" t="s">
        <v>14</v>
      </c>
      <c r="I39" s="51" t="n">
        <f aca="false">IF(Islem_2026_09[[#This Row],[Tutar]]="","",IF(Islem_2026_09[[#This Row],[Para birimi]]="USD",Islem_2026_09[[#This Row],[Tutar]]*$T$3,Islem_2026_09[[#This Row],[Tutar]]))</f>
        <v>4975</v>
      </c>
      <c r="J39" s="52" t="n">
        <f aca="false">IF(Islem_2026_09[[#This Row],[DOP]]="","",Islem_2026_09[[#This Row],[DOP]]/$T$3)</f>
        <v>84.934791160992</v>
      </c>
      <c r="K39" s="56"/>
    </row>
    <row r="40" s="1" customFormat="true" ht="20" hidden="false" customHeight="false" outlineLevel="0" collapsed="false">
      <c r="B40" s="53" t="n">
        <v>46268</v>
      </c>
      <c r="C40" s="48" t="s">
        <v>87</v>
      </c>
      <c r="D40" s="55" t="s">
        <v>88</v>
      </c>
      <c r="E40" s="48" t="s">
        <v>48</v>
      </c>
      <c r="F40" s="55" t="s">
        <v>66</v>
      </c>
      <c r="G40" s="50" t="n">
        <v>1850</v>
      </c>
      <c r="H40" s="49" t="s">
        <v>14</v>
      </c>
      <c r="I40" s="51" t="n">
        <f aca="false">IF(Islem_2026_09[[#This Row],[Tutar]]="","",IF(Islem_2026_09[[#This Row],[Para birimi]]="USD",Islem_2026_09[[#This Row],[Tutar]]*$T$3,Islem_2026_09[[#This Row],[Tutar]]))</f>
        <v>1850</v>
      </c>
      <c r="J40" s="52" t="n">
        <f aca="false">IF(Islem_2026_09[[#This Row],[DOP]]="","",Islem_2026_09[[#This Row],[DOP]]/$T$3)</f>
        <v>31.5837916880071</v>
      </c>
      <c r="K40" s="56"/>
    </row>
    <row r="41" s="1" customFormat="true" ht="20" hidden="false" customHeight="false" outlineLevel="0" collapsed="false">
      <c r="B41" s="53" t="n">
        <v>46270</v>
      </c>
      <c r="C41" s="48" t="s">
        <v>67</v>
      </c>
      <c r="D41" s="55" t="s">
        <v>67</v>
      </c>
      <c r="E41" s="48" t="s">
        <v>36</v>
      </c>
      <c r="F41" s="55" t="s">
        <v>66</v>
      </c>
      <c r="G41" s="50" t="n">
        <v>360</v>
      </c>
      <c r="H41" s="49" t="s">
        <v>14</v>
      </c>
      <c r="I41" s="51" t="n">
        <f aca="false">IF(Islem_2026_09[[#This Row],[Tutar]]="","",IF(Islem_2026_09[[#This Row],[Para birimi]]="USD",Islem_2026_09[[#This Row],[Tutar]]*$T$3,Islem_2026_09[[#This Row],[Tutar]]))</f>
        <v>360</v>
      </c>
      <c r="J41" s="52" t="n">
        <f aca="false">IF(Islem_2026_09[[#This Row],[DOP]]="","",Islem_2026_09[[#This Row],[DOP]]/$T$3)</f>
        <v>6.14603513928786</v>
      </c>
      <c r="K41" s="56"/>
    </row>
    <row r="42" s="1" customFormat="true" ht="20" hidden="false" customHeight="false" outlineLevel="0" collapsed="false">
      <c r="B42" s="53" t="n">
        <v>46273</v>
      </c>
      <c r="C42" s="48" t="s">
        <v>68</v>
      </c>
      <c r="D42" s="55" t="s">
        <v>89</v>
      </c>
      <c r="E42" s="48" t="s">
        <v>32</v>
      </c>
      <c r="F42" s="55" t="s">
        <v>66</v>
      </c>
      <c r="G42" s="50" t="n">
        <v>1420</v>
      </c>
      <c r="H42" s="49" t="s">
        <v>14</v>
      </c>
      <c r="I42" s="51" t="n">
        <f aca="false">IF(Islem_2026_09[[#This Row],[Tutar]]="","",IF(Islem_2026_09[[#This Row],[Para birimi]]="USD",Islem_2026_09[[#This Row],[Tutar]]*$T$3,Islem_2026_09[[#This Row],[Tutar]]))</f>
        <v>1420</v>
      </c>
      <c r="J42" s="52" t="n">
        <f aca="false">IF(Islem_2026_09[[#This Row],[DOP]]="","",Islem_2026_09[[#This Row],[DOP]]/$T$3)</f>
        <v>24.2426941605243</v>
      </c>
      <c r="K42" s="56"/>
    </row>
    <row r="43" s="1" customFormat="true" ht="20" hidden="false" customHeight="false" outlineLevel="0" collapsed="false">
      <c r="B43" s="53" t="n">
        <v>46276</v>
      </c>
      <c r="C43" s="48" t="s">
        <v>70</v>
      </c>
      <c r="D43" s="55" t="s">
        <v>90</v>
      </c>
      <c r="E43" s="48" t="s">
        <v>36</v>
      </c>
      <c r="F43" s="55" t="s">
        <v>66</v>
      </c>
      <c r="G43" s="50" t="n">
        <v>2100</v>
      </c>
      <c r="H43" s="49" t="s">
        <v>14</v>
      </c>
      <c r="I43" s="51" t="n">
        <f aca="false">IF(Islem_2026_09[[#This Row],[Tutar]]="","",IF(Islem_2026_09[[#This Row],[Para birimi]]="USD",Islem_2026_09[[#This Row],[Tutar]]*$T$3,Islem_2026_09[[#This Row],[Tutar]]))</f>
        <v>2100</v>
      </c>
      <c r="J43" s="52" t="n">
        <f aca="false">IF(Islem_2026_09[[#This Row],[DOP]]="","",Islem_2026_09[[#This Row],[DOP]]/$T$3)</f>
        <v>35.8518716458459</v>
      </c>
      <c r="K43" s="56"/>
    </row>
    <row r="44" s="1" customFormat="true" ht="20" hidden="false" customHeight="false" outlineLevel="0" collapsed="false">
      <c r="B44" s="53" t="n">
        <v>46279</v>
      </c>
      <c r="C44" s="48" t="s">
        <v>91</v>
      </c>
      <c r="D44" s="55" t="s">
        <v>92</v>
      </c>
      <c r="E44" s="48" t="s">
        <v>38</v>
      </c>
      <c r="F44" s="55" t="s">
        <v>74</v>
      </c>
      <c r="G44" s="50" t="n">
        <v>850</v>
      </c>
      <c r="H44" s="49" t="s">
        <v>14</v>
      </c>
      <c r="I44" s="51" t="n">
        <f aca="false">IF(Islem_2026_09[[#This Row],[Tutar]]="","",IF(Islem_2026_09[[#This Row],[Para birimi]]="USD",Islem_2026_09[[#This Row],[Tutar]]*$T$3,Islem_2026_09[[#This Row],[Tutar]]))</f>
        <v>850</v>
      </c>
      <c r="J44" s="52" t="n">
        <f aca="false">IF(Islem_2026_09[[#This Row],[DOP]]="","",Islem_2026_09[[#This Row],[DOP]]/$T$3)</f>
        <v>14.5114718566519</v>
      </c>
      <c r="K44" s="56"/>
    </row>
    <row r="45" s="1" customFormat="true" ht="20" hidden="false" customHeight="false" outlineLevel="0" collapsed="false">
      <c r="B45" s="53" t="n">
        <v>46281</v>
      </c>
      <c r="C45" s="48" t="s">
        <v>64</v>
      </c>
      <c r="D45" s="55" t="s">
        <v>75</v>
      </c>
      <c r="E45" s="48" t="s">
        <v>34</v>
      </c>
      <c r="F45" s="55" t="s">
        <v>66</v>
      </c>
      <c r="G45" s="50" t="n">
        <v>5320</v>
      </c>
      <c r="H45" s="49" t="s">
        <v>14</v>
      </c>
      <c r="I45" s="51" t="n">
        <f aca="false">IF(Islem_2026_09[[#This Row],[Tutar]]="","",IF(Islem_2026_09[[#This Row],[Para birimi]]="USD",Islem_2026_09[[#This Row],[Tutar]]*$T$3,Islem_2026_09[[#This Row],[Tutar]]))</f>
        <v>5320</v>
      </c>
      <c r="J45" s="52" t="n">
        <f aca="false">IF(Islem_2026_09[[#This Row],[DOP]]="","",Islem_2026_09[[#This Row],[DOP]]/$T$3)</f>
        <v>90.8247415028095</v>
      </c>
      <c r="K45" s="56"/>
    </row>
    <row r="46" s="1" customFormat="true" ht="20" hidden="false" customHeight="false" outlineLevel="0" collapsed="false">
      <c r="B46" s="53" t="n">
        <v>46284</v>
      </c>
      <c r="C46" s="48" t="s">
        <v>93</v>
      </c>
      <c r="D46" s="55" t="s">
        <v>94</v>
      </c>
      <c r="E46" s="48" t="s">
        <v>40</v>
      </c>
      <c r="F46" s="55" t="s">
        <v>66</v>
      </c>
      <c r="G46" s="50" t="n">
        <v>980</v>
      </c>
      <c r="H46" s="49" t="s">
        <v>14</v>
      </c>
      <c r="I46" s="51" t="n">
        <f aca="false">IF(Islem_2026_09[[#This Row],[Tutar]]="","",IF(Islem_2026_09[[#This Row],[Para birimi]]="USD",Islem_2026_09[[#This Row],[Tutar]]*$T$3,Islem_2026_09[[#This Row],[Tutar]]))</f>
        <v>980</v>
      </c>
      <c r="J46" s="52" t="n">
        <f aca="false">IF(Islem_2026_09[[#This Row],[DOP]]="","",Islem_2026_09[[#This Row],[DOP]]/$T$3)</f>
        <v>16.7308734347281</v>
      </c>
      <c r="K46" s="56"/>
    </row>
    <row r="47" s="1" customFormat="true" ht="20" hidden="false" customHeight="false" outlineLevel="0" collapsed="false">
      <c r="B47" s="53" t="n">
        <v>46288</v>
      </c>
      <c r="C47" s="48" t="s">
        <v>95</v>
      </c>
      <c r="D47" s="55" t="s">
        <v>96</v>
      </c>
      <c r="E47" s="48" t="s">
        <v>50</v>
      </c>
      <c r="F47" s="55" t="s">
        <v>66</v>
      </c>
      <c r="G47" s="50" t="n">
        <v>4800</v>
      </c>
      <c r="H47" s="49" t="s">
        <v>14</v>
      </c>
      <c r="I47" s="51" t="n">
        <f aca="false">IF(Islem_2026_09[[#This Row],[Tutar]]="","",IF(Islem_2026_09[[#This Row],[Para birimi]]="USD",Islem_2026_09[[#This Row],[Tutar]]*$T$3,Islem_2026_09[[#This Row],[Tutar]]))</f>
        <v>4800</v>
      </c>
      <c r="J47" s="52" t="n">
        <f aca="false">IF(Islem_2026_09[[#This Row],[DOP]]="","",Islem_2026_09[[#This Row],[DOP]]/$T$3)</f>
        <v>81.9471351905048</v>
      </c>
      <c r="K47" s="56" t="s">
        <v>97</v>
      </c>
    </row>
    <row r="48" s="1" customFormat="true" ht="20" hidden="false" customHeight="false" outlineLevel="0" collapsed="false">
      <c r="B48" s="53" t="n">
        <v>46293</v>
      </c>
      <c r="C48" s="48" t="s">
        <v>70</v>
      </c>
      <c r="D48" s="55" t="s">
        <v>84</v>
      </c>
      <c r="E48" s="48" t="s">
        <v>36</v>
      </c>
      <c r="F48" s="55" t="s">
        <v>66</v>
      </c>
      <c r="G48" s="50" t="n">
        <v>1900</v>
      </c>
      <c r="H48" s="49" t="s">
        <v>14</v>
      </c>
      <c r="I48" s="51" t="n">
        <f aca="false">IF(Islem_2026_09[[#This Row],[Tutar]]="","",IF(Islem_2026_09[[#This Row],[Para birimi]]="USD",Islem_2026_09[[#This Row],[Tutar]]*$T$3,Islem_2026_09[[#This Row],[Tutar]]))</f>
        <v>1900</v>
      </c>
      <c r="J48" s="52" t="n">
        <f aca="false">IF(Islem_2026_09[[#This Row],[DOP]]="","",Islem_2026_09[[#This Row],[DOP]]/$T$3)</f>
        <v>32.4374076795748</v>
      </c>
      <c r="K48" s="56"/>
    </row>
    <row r="49" s="1" customFormat="true" ht="20" hidden="false" customHeight="false" outlineLevel="0" collapsed="false">
      <c r="B49" s="53"/>
      <c r="C49" s="48"/>
      <c r="D49" s="55"/>
      <c r="E49" s="48"/>
      <c r="F49" s="55"/>
      <c r="G49" s="50"/>
      <c r="H49" s="49"/>
      <c r="I49" s="51" t="str">
        <f aca="false">IF(Islem_2026_09[[#This Row],[Tutar]]="","",IF(Islem_2026_09[[#This Row],[Para birimi]]="USD",Islem_2026_09[[#This Row],[Tutar]]*$T$3,Islem_2026_09[[#This Row],[Tutar]]))</f>
        <v/>
      </c>
      <c r="J49" s="52" t="str">
        <f aca="false">IF(Islem_2026_09[[#This Row],[DOP]]="","",Islem_2026_09[[#This Row],[DOP]]/$T$3)</f>
        <v/>
      </c>
      <c r="K49" s="56"/>
    </row>
    <row r="50" s="1" customFormat="true" ht="20" hidden="false" customHeight="false" outlineLevel="0" collapsed="false">
      <c r="B50" s="53"/>
      <c r="C50" s="48"/>
      <c r="D50" s="55"/>
      <c r="E50" s="48"/>
      <c r="F50" s="55"/>
      <c r="G50" s="50"/>
      <c r="H50" s="49"/>
      <c r="I50" s="51" t="str">
        <f aca="false">IF(Islem_2026_09[[#This Row],[Tutar]]="","",IF(Islem_2026_09[[#This Row],[Para birimi]]="USD",Islem_2026_09[[#This Row],[Tutar]]*$T$3,Islem_2026_09[[#This Row],[Tutar]]))</f>
        <v/>
      </c>
      <c r="J50" s="52" t="str">
        <f aca="false">IF(Islem_2026_09[[#This Row],[DOP]]="","",Islem_2026_09[[#This Row],[DOP]]/$T$3)</f>
        <v/>
      </c>
      <c r="K50" s="56"/>
    </row>
    <row r="51" s="1" customFormat="true" ht="20" hidden="false" customHeight="false" outlineLevel="0" collapsed="false">
      <c r="B51" s="53"/>
      <c r="C51" s="48"/>
      <c r="D51" s="55"/>
      <c r="E51" s="48"/>
      <c r="F51" s="55"/>
      <c r="G51" s="50"/>
      <c r="H51" s="49"/>
      <c r="I51" s="51" t="str">
        <f aca="false">IF(Islem_2026_09[[#This Row],[Tutar]]="","",IF(Islem_2026_09[[#This Row],[Para birimi]]="USD",Islem_2026_09[[#This Row],[Tutar]]*$T$3,Islem_2026_09[[#This Row],[Tutar]]))</f>
        <v/>
      </c>
      <c r="J51" s="52" t="str">
        <f aca="false">IF(Islem_2026_09[[#This Row],[DOP]]="","",Islem_2026_09[[#This Row],[DOP]]/$T$3)</f>
        <v/>
      </c>
      <c r="K51" s="56"/>
    </row>
    <row r="52" s="1" customFormat="true" ht="20" hidden="false" customHeight="false" outlineLevel="0" collapsed="false">
      <c r="B52" s="53"/>
      <c r="C52" s="48"/>
      <c r="D52" s="55"/>
      <c r="E52" s="48"/>
      <c r="F52" s="55"/>
      <c r="G52" s="50"/>
      <c r="H52" s="49"/>
      <c r="I52" s="51" t="str">
        <f aca="false">IF(Islem_2026_09[[#This Row],[Tutar]]="","",IF(Islem_2026_09[[#This Row],[Para birimi]]="USD",Islem_2026_09[[#This Row],[Tutar]]*$T$3,Islem_2026_09[[#This Row],[Tutar]]))</f>
        <v/>
      </c>
      <c r="J52" s="52" t="str">
        <f aca="false">IF(Islem_2026_09[[#This Row],[DOP]]="","",Islem_2026_09[[#This Row],[DOP]]/$T$3)</f>
        <v/>
      </c>
      <c r="K52" s="56"/>
    </row>
    <row r="53" s="1" customFormat="true" ht="20" hidden="false" customHeight="false" outlineLevel="0" collapsed="false">
      <c r="B53" s="53"/>
      <c r="C53" s="48"/>
      <c r="D53" s="55"/>
      <c r="E53" s="48"/>
      <c r="F53" s="55"/>
      <c r="G53" s="50"/>
      <c r="H53" s="49"/>
      <c r="I53" s="51" t="str">
        <f aca="false">IF(Islem_2026_09[[#This Row],[Tutar]]="","",IF(Islem_2026_09[[#This Row],[Para birimi]]="USD",Islem_2026_09[[#This Row],[Tutar]]*$T$3,Islem_2026_09[[#This Row],[Tutar]]))</f>
        <v/>
      </c>
      <c r="J53" s="52" t="str">
        <f aca="false">IF(Islem_2026_09[[#This Row],[DOP]]="","",Islem_2026_09[[#This Row],[DOP]]/$T$3)</f>
        <v/>
      </c>
      <c r="K53" s="56"/>
    </row>
    <row r="54" s="1" customFormat="true" ht="20" hidden="false" customHeight="false" outlineLevel="0" collapsed="false">
      <c r="B54" s="53"/>
      <c r="C54" s="48"/>
      <c r="D54" s="55"/>
      <c r="E54" s="48"/>
      <c r="F54" s="55"/>
      <c r="G54" s="50"/>
      <c r="H54" s="49"/>
      <c r="I54" s="51" t="str">
        <f aca="false">IF(Islem_2026_09[[#This Row],[Tutar]]="","",IF(Islem_2026_09[[#This Row],[Para birimi]]="USD",Islem_2026_09[[#This Row],[Tutar]]*$T$3,Islem_2026_09[[#This Row],[Tutar]]))</f>
        <v/>
      </c>
      <c r="J54" s="52" t="str">
        <f aca="false">IF(Islem_2026_09[[#This Row],[DOP]]="","",Islem_2026_09[[#This Row],[DOP]]/$T$3)</f>
        <v/>
      </c>
      <c r="K54" s="56"/>
    </row>
    <row r="55" s="1" customFormat="true" ht="20" hidden="false" customHeight="false" outlineLevel="0" collapsed="false">
      <c r="B55" s="53"/>
      <c r="C55" s="48"/>
      <c r="D55" s="55"/>
      <c r="E55" s="48"/>
      <c r="F55" s="55"/>
      <c r="G55" s="50"/>
      <c r="H55" s="49"/>
      <c r="I55" s="51" t="str">
        <f aca="false">IF(Islem_2026_09[[#This Row],[Tutar]]="","",IF(Islem_2026_09[[#This Row],[Para birimi]]="USD",Islem_2026_09[[#This Row],[Tutar]]*$T$3,Islem_2026_09[[#This Row],[Tutar]]))</f>
        <v/>
      </c>
      <c r="J55" s="52" t="str">
        <f aca="false">IF(Islem_2026_09[[#This Row],[DOP]]="","",Islem_2026_09[[#This Row],[DOP]]/$T$3)</f>
        <v/>
      </c>
      <c r="K55" s="56"/>
    </row>
    <row r="56" s="1" customFormat="true" ht="20" hidden="false" customHeight="false" outlineLevel="0" collapsed="false">
      <c r="B56" s="53"/>
      <c r="C56" s="48"/>
      <c r="D56" s="55"/>
      <c r="E56" s="48"/>
      <c r="F56" s="55"/>
      <c r="G56" s="50"/>
      <c r="H56" s="49"/>
      <c r="I56" s="51" t="str">
        <f aca="false">IF(Islem_2026_09[[#This Row],[Tutar]]="","",IF(Islem_2026_09[[#This Row],[Para birimi]]="USD",Islem_2026_09[[#This Row],[Tutar]]*$T$3,Islem_2026_09[[#This Row],[Tutar]]))</f>
        <v/>
      </c>
      <c r="J56" s="52" t="str">
        <f aca="false">IF(Islem_2026_09[[#This Row],[DOP]]="","",Islem_2026_09[[#This Row],[DOP]]/$T$3)</f>
        <v/>
      </c>
      <c r="K56" s="56"/>
    </row>
    <row r="57" s="1" customFormat="true" ht="20" hidden="false" customHeight="false" outlineLevel="0" collapsed="false">
      <c r="B57" s="53"/>
      <c r="C57" s="48"/>
      <c r="D57" s="55"/>
      <c r="E57" s="48"/>
      <c r="F57" s="55"/>
      <c r="G57" s="50"/>
      <c r="H57" s="49"/>
      <c r="I57" s="51" t="str">
        <f aca="false">IF(Islem_2026_09[[#This Row],[Tutar]]="","",IF(Islem_2026_09[[#This Row],[Para birimi]]="USD",Islem_2026_09[[#This Row],[Tutar]]*$T$3,Islem_2026_09[[#This Row],[Tutar]]))</f>
        <v/>
      </c>
      <c r="J57" s="52" t="str">
        <f aca="false">IF(Islem_2026_09[[#This Row],[DOP]]="","",Islem_2026_09[[#This Row],[DOP]]/$T$3)</f>
        <v/>
      </c>
      <c r="K57" s="56"/>
    </row>
    <row r="58" s="1" customFormat="true" ht="20" hidden="false" customHeight="false" outlineLevel="0" collapsed="false">
      <c r="B58" s="53"/>
      <c r="C58" s="48"/>
      <c r="D58" s="55"/>
      <c r="E58" s="48"/>
      <c r="F58" s="55"/>
      <c r="G58" s="50"/>
      <c r="H58" s="49"/>
      <c r="I58" s="51" t="str">
        <f aca="false">IF(Islem_2026_09[[#This Row],[Tutar]]="","",IF(Islem_2026_09[[#This Row],[Para birimi]]="USD",Islem_2026_09[[#This Row],[Tutar]]*$T$3,Islem_2026_09[[#This Row],[Tutar]]))</f>
        <v/>
      </c>
      <c r="J58" s="52" t="str">
        <f aca="false">IF(Islem_2026_09[[#This Row],[DOP]]="","",Islem_2026_09[[#This Row],[DOP]]/$T$3)</f>
        <v/>
      </c>
      <c r="K58" s="56"/>
    </row>
    <row r="59" s="1" customFormat="true" ht="20" hidden="false" customHeight="false" outlineLevel="0" collapsed="false">
      <c r="B59" s="53"/>
      <c r="C59" s="48"/>
      <c r="D59" s="55"/>
      <c r="E59" s="48"/>
      <c r="F59" s="55"/>
      <c r="G59" s="50"/>
      <c r="H59" s="49"/>
      <c r="I59" s="51" t="str">
        <f aca="false">IF(Islem_2026_09[[#This Row],[Tutar]]="","",IF(Islem_2026_09[[#This Row],[Para birimi]]="USD",Islem_2026_09[[#This Row],[Tutar]]*$T$3,Islem_2026_09[[#This Row],[Tutar]]))</f>
        <v/>
      </c>
      <c r="J59" s="52" t="str">
        <f aca="false">IF(Islem_2026_09[[#This Row],[DOP]]="","",Islem_2026_09[[#This Row],[DOP]]/$T$3)</f>
        <v/>
      </c>
      <c r="K59" s="56"/>
    </row>
    <row r="60" s="1" customFormat="true" ht="20" hidden="false" customHeight="false" outlineLevel="0" collapsed="false">
      <c r="B60" s="53"/>
      <c r="C60" s="48"/>
      <c r="D60" s="55"/>
      <c r="E60" s="48"/>
      <c r="F60" s="55"/>
      <c r="G60" s="50"/>
      <c r="H60" s="49"/>
      <c r="I60" s="51" t="str">
        <f aca="false">IF(Islem_2026_09[[#This Row],[Tutar]]="","",IF(Islem_2026_09[[#This Row],[Para birimi]]="USD",Islem_2026_09[[#This Row],[Tutar]]*$T$3,Islem_2026_09[[#This Row],[Tutar]]))</f>
        <v/>
      </c>
      <c r="J60" s="52" t="str">
        <f aca="false">IF(Islem_2026_09[[#This Row],[DOP]]="","",Islem_2026_09[[#This Row],[DOP]]/$T$3)</f>
        <v/>
      </c>
      <c r="K60" s="56"/>
    </row>
  </sheetData>
  <mergeCells count="38">
    <mergeCell ref="N1:Q1"/>
    <mergeCell ref="B5:D5"/>
    <mergeCell ref="B6:D6"/>
    <mergeCell ref="G6:H6"/>
    <mergeCell ref="O6:Q6"/>
    <mergeCell ref="G8:H8"/>
    <mergeCell ref="O8:Q8"/>
    <mergeCell ref="G9:H9"/>
    <mergeCell ref="O9:Q9"/>
    <mergeCell ref="G10:H10"/>
    <mergeCell ref="O10:Q10"/>
    <mergeCell ref="C11:D11"/>
    <mergeCell ref="O11:Q11"/>
    <mergeCell ref="H14:K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O28:Q28"/>
    <mergeCell ref="H37:K37"/>
  </mergeCells>
  <conditionalFormatting sqref="C11">
    <cfRule type="cellIs" priority="2" operator="lessThan" aboveAverage="0" equalAverage="0" bottom="0" percent="0" rank="0" text="" dxfId="7">
      <formula>0</formula>
    </cfRule>
  </conditionalFormatting>
  <conditionalFormatting sqref="O9:O10">
    <cfRule type="cellIs" priority="3" operator="lessThan" aboveAverage="0" equalAverage="0" bottom="0" percent="0" rank="0" text="" dxfId="7">
      <formula>0</formula>
    </cfRule>
  </conditionalFormatting>
  <conditionalFormatting sqref="B16:B30">
    <cfRule type="cellIs" priority="4" operator="equal" aboveAverage="0" equalAverage="0" bottom="0" percent="0" rank="0" text="" dxfId="8">
      <formula>"Evet"</formula>
    </cfRule>
    <cfRule type="cellIs" priority="5" operator="equal" aboveAverage="0" equalAverage="0" bottom="0" percent="0" rank="0" text="" dxfId="9">
      <formula>"Hayır"</formula>
    </cfRule>
  </conditionalFormatting>
  <conditionalFormatting sqref="O15:P15">
    <cfRule type="dataBar" priority="6">
      <dataBar showValue="0" minLength="10" maxLength="90">
        <cfvo type="num" val="0"/>
        <cfvo type="formula" val="MAX($Q$15:$Q$25)"/>
        <color rgb="FF2B3A33"/>
      </dataBar>
      <extLst>
        <ext xmlns:x14="http://schemas.microsoft.com/office/spreadsheetml/2009/9/main" uri="{B025F937-C7B1-47D3-B67F-A62EFF666E3E}">
          <x14:id>{4758D856-2380-4792-8FED-3BCC5240A04C}</x14:id>
        </ext>
      </extLst>
    </cfRule>
  </conditionalFormatting>
  <conditionalFormatting sqref="O16:P25">
    <cfRule type="dataBar" priority="7">
      <dataBar showValue="0" minLength="10" maxLength="90">
        <cfvo type="num" val="0"/>
        <cfvo type="formula" val="MAX($Q$15:$Q$25)"/>
        <color rgb="FF2F7D52"/>
      </dataBar>
      <extLst>
        <ext xmlns:x14="http://schemas.microsoft.com/office/spreadsheetml/2009/9/main" uri="{B025F937-C7B1-47D3-B67F-A62EFF666E3E}">
          <x14:id>{9C5834C6-B059-4641-A0C1-A73D8544AA90}</x14:id>
        </ext>
      </extLst>
    </cfRule>
  </conditionalFormatting>
  <dataValidations count="6">
    <dataValidation allowBlank="true" errorStyle="stop" operator="between" showDropDown="false" showErrorMessage="true" showInputMessage="false" sqref="B16:B30" type="list">
      <formula1>"Evet,Hayır"</formula1>
      <formula2>0</formula2>
    </dataValidation>
    <dataValidation allowBlank="true" errorStyle="stop" operator="between" showDropDown="false" showErrorMessage="true" showInputMessage="false" sqref="F16:F30" type="list">
      <formula1>"DOP,USD"</formula1>
      <formula2>0</formula2>
    </dataValidation>
    <dataValidation allowBlank="true" errorStyle="stop" operator="between" showDropDown="false" showErrorMessage="true" showInputMessage="false" sqref="N30:N34" type="list">
      <formula1>"Remitly,PayPal"</formula1>
      <formula2>0</formula2>
    </dataValidation>
    <dataValidation allowBlank="true" errorStyle="stop" operator="between" showDropDown="false" showErrorMessage="true" showInputMessage="false" sqref="E39:E1060" type="list">
      <formula1>Config!$E$4:$E$13</formula1>
      <formula2>0</formula2>
    </dataValidation>
    <dataValidation allowBlank="true" errorStyle="stop" operator="between" showDropDown="false" showErrorMessage="true" showInputMessage="false" sqref="F39:F1060" type="list">
      <formula1>Config!$F$4:$F$6</formula1>
      <formula2>0</formula2>
    </dataValidation>
    <dataValidation allowBlank="true" errorStyle="stop" operator="between" showDropDown="false" showErrorMessage="true" showInputMessage="false" sqref="H39:H1060" type="list">
      <formula1>"DOP,USD"</formula1>
      <formula2>0</formula2>
    </dataValidation>
  </dataValidation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58D856-2380-4792-8FED-3BCC5240A04C}">
            <x14:dataBar minLength="10" maxLength="90" axisPosition="none" gradient="true">
              <x14:cfvo type="num">
                <xm:f>0</xm:f>
              </x14:cfvo>
              <x14:cfvo type="formula">
                <xm:f>MAX($Q$15:$Q$25)</xm:f>
              </x14:cfvo>
              <x14:negativeFillColor rgb="FF2B3A33"/>
              <x14:axisColor rgb="FF000000"/>
            </x14:dataBar>
          </x14:cfRule>
          <xm:sqref>O15:P15</xm:sqref>
        </x14:conditionalFormatting>
        <x14:conditionalFormatting xmlns:xm="http://schemas.microsoft.com/office/excel/2006/main">
          <x14:cfRule type="dataBar" id="{9C5834C6-B059-4641-A0C1-A73D8544AA90}">
            <x14:dataBar minLength="10" maxLength="90" axisPosition="none" gradient="true">
              <x14:cfvo type="num">
                <xm:f>0</xm:f>
              </x14:cfvo>
              <x14:cfvo type="formula">
                <xm:f>MAX($Q$15:$Q$25)</xm:f>
              </x14:cfvo>
              <x14:negativeFillColor rgb="FF2F7D52"/>
              <x14:axisColor rgb="FF000000"/>
            </x14:dataBar>
          </x14:cfRule>
          <xm:sqref>O16:P25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D52"/>
    <pageSetUpPr fitToPage="false"/>
  </sheetPr>
  <dimension ref="A1:T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20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8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3"/>
    <col collapsed="false" customWidth="true" hidden="false" outlineLevel="0" max="13" min="13" style="1" width="11"/>
    <col collapsed="false" customWidth="true" hidden="false" outlineLevel="0" max="15" min="14" style="1" width="1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9" min="18" style="1" width="2"/>
    <col collapsed="false" customWidth="true" hidden="true" outlineLevel="0" max="20" min="20" style="1" width="14"/>
    <col collapsed="false" customWidth="true" hidden="false" outlineLevel="0" max="60" min="21" style="1" width="9"/>
  </cols>
  <sheetData>
    <row r="1" s="1" customFormat="true" ht="26" hidden="false" customHeight="true" outlineLevel="0" collapsed="false">
      <c r="A1" s="2"/>
      <c r="B1" s="3" t="s">
        <v>0</v>
      </c>
      <c r="C1" s="2"/>
      <c r="D1" s="4" t="s">
        <v>98</v>
      </c>
      <c r="E1" s="2"/>
      <c r="F1" s="2"/>
      <c r="G1" s="2"/>
      <c r="H1" s="2"/>
      <c r="I1" s="2"/>
      <c r="J1" s="2"/>
      <c r="K1" s="2"/>
      <c r="L1" s="2"/>
      <c r="M1" s="5" t="s">
        <v>2</v>
      </c>
      <c r="N1" s="6" t="str">
        <f aca="false">"1 USD = "&amp;FIXED($T$3,2)&amp;" DOP"</f>
        <v>1 USD = 58.76 DOP</v>
      </c>
      <c r="O1" s="6"/>
      <c r="P1" s="6"/>
      <c r="Q1" s="6"/>
      <c r="R1" s="2"/>
    </row>
    <row r="2" s="1" customFormat="true" ht="16" hidden="false" customHeight="true" outlineLevel="0" collapsed="false">
      <c r="B2" s="7" t="s">
        <v>3</v>
      </c>
      <c r="T2" s="8" t="s">
        <v>4</v>
      </c>
    </row>
    <row r="3" s="1" customFormat="true" ht="6" hidden="false" customHeight="true" outlineLevel="0" collapsed="false">
      <c r="T3" s="9" t="n">
        <f aca="false">IFERROR(SUMPRODUCT(Transfer_2026_10[USD],Transfer_2026_10[Kur])/SUM(Transfer_2026_10[USD]),Config!$C$4)</f>
        <v>58.76</v>
      </c>
    </row>
    <row r="4" s="1" customFormat="true" ht="18" hidden="false" customHeight="true" outlineLevel="0" collapsed="false">
      <c r="B4" s="10" t="s">
        <v>5</v>
      </c>
      <c r="C4" s="11"/>
      <c r="D4" s="12"/>
      <c r="E4" s="13"/>
      <c r="F4" s="11"/>
      <c r="G4" s="14" t="s">
        <v>6</v>
      </c>
      <c r="H4" s="11"/>
      <c r="I4" s="12"/>
      <c r="J4" s="10" t="str">
        <f aca="false">UPPER($D$1)</f>
        <v>EKIM 2026</v>
      </c>
      <c r="K4" s="11"/>
      <c r="L4" s="11"/>
      <c r="M4" s="11"/>
      <c r="N4" s="11"/>
      <c r="O4" s="11"/>
      <c r="P4" s="11"/>
      <c r="Q4" s="12"/>
      <c r="T4" s="9" t="n">
        <f aca="false">SUMIFS(Sabit_2026_10[DOP],Sabit_2026_10[Ödendi],"Evet")</f>
        <v>38304.71</v>
      </c>
    </row>
    <row r="5" s="1" customFormat="true" ht="28" hidden="false" customHeight="true" outlineLevel="0" collapsed="false">
      <c r="B5" s="15" t="n">
        <f aca="false">C8*$T$3+C9</f>
        <v>340243.2</v>
      </c>
      <c r="C5" s="15"/>
      <c r="D5" s="15"/>
      <c r="E5" s="16"/>
      <c r="F5" s="17"/>
      <c r="G5" s="17"/>
      <c r="H5" s="17"/>
      <c r="I5" s="18"/>
      <c r="J5" s="19" t="str">
        <f aca="false">"Kullanılan bütçe: %"&amp;FIXED(100*$T$8/MAX(1,O6),1)</f>
        <v>Kullanılan bütçe: %70.2</v>
      </c>
      <c r="K5" s="17"/>
      <c r="L5" s="17"/>
      <c r="M5" s="17"/>
      <c r="N5" s="17"/>
      <c r="O5" s="17"/>
      <c r="P5" s="17"/>
      <c r="Q5" s="18"/>
      <c r="T5" s="9" t="n">
        <f aca="false">SUM(Islem_2026_10[DOP])</f>
        <v>10845</v>
      </c>
    </row>
    <row r="6" s="1" customFormat="true" ht="18" hidden="false" customHeight="true" outlineLevel="0" collapsed="false">
      <c r="B6" s="20" t="n">
        <f aca="false">C8+C9/$T$3</f>
        <v>5790.38801906059</v>
      </c>
      <c r="C6" s="20"/>
      <c r="D6" s="20"/>
      <c r="E6" s="16"/>
      <c r="F6" s="17"/>
      <c r="G6" s="21" t="s">
        <v>7</v>
      </c>
      <c r="H6" s="21"/>
      <c r="I6" s="22" t="n">
        <f aca="false">$T$4</f>
        <v>38304.71</v>
      </c>
      <c r="J6" s="23" t="s">
        <v>8</v>
      </c>
      <c r="K6" s="24"/>
      <c r="L6" s="24"/>
      <c r="M6" s="24"/>
      <c r="N6" s="24"/>
      <c r="O6" s="25" t="n">
        <v>70000</v>
      </c>
      <c r="P6" s="25"/>
      <c r="Q6" s="25"/>
      <c r="T6" s="9" t="n">
        <f aca="false">SUMIFS(Sabit_2026_10[DOP],Sabit_2026_10[Ödendi],"Hayır")</f>
        <v>3720.86</v>
      </c>
    </row>
    <row r="7" s="1" customFormat="true" ht="10" hidden="false" customHeight="true" outlineLevel="0" collapsed="false">
      <c r="B7" s="16"/>
      <c r="C7" s="17"/>
      <c r="D7" s="18"/>
      <c r="E7" s="16"/>
      <c r="F7" s="17"/>
      <c r="G7" s="17"/>
      <c r="H7" s="17"/>
      <c r="I7" s="18"/>
      <c r="J7" s="16"/>
      <c r="K7" s="17"/>
      <c r="L7" s="17"/>
      <c r="M7" s="17"/>
      <c r="N7" s="17"/>
      <c r="O7" s="17"/>
      <c r="P7" s="17"/>
      <c r="Q7" s="18"/>
      <c r="T7" s="9" t="n">
        <f aca="false">MAX(0,O6-T4-T5-T6)</f>
        <v>17129.43</v>
      </c>
    </row>
    <row r="8" s="1" customFormat="true" ht="20" hidden="false" customHeight="true" outlineLevel="0" collapsed="false">
      <c r="B8" s="26" t="s">
        <v>9</v>
      </c>
      <c r="C8" s="27" t="n">
        <v>4320</v>
      </c>
      <c r="D8" s="28" t="s">
        <v>10</v>
      </c>
      <c r="E8" s="16"/>
      <c r="F8" s="17"/>
      <c r="G8" s="29" t="s">
        <v>11</v>
      </c>
      <c r="H8" s="29"/>
      <c r="I8" s="22" t="n">
        <f aca="false">$T$5</f>
        <v>10845</v>
      </c>
      <c r="J8" s="30" t="s">
        <v>12</v>
      </c>
      <c r="K8" s="24"/>
      <c r="L8" s="24"/>
      <c r="M8" s="24"/>
      <c r="N8" s="24"/>
      <c r="O8" s="31" t="n">
        <f aca="false">$T$8</f>
        <v>49149.71</v>
      </c>
      <c r="P8" s="31"/>
      <c r="Q8" s="31"/>
      <c r="T8" s="9" t="n">
        <f aca="false">T4+T5</f>
        <v>49149.71</v>
      </c>
    </row>
    <row r="9" s="1" customFormat="true" ht="20" hidden="false" customHeight="true" outlineLevel="0" collapsed="false">
      <c r="B9" s="26" t="s">
        <v>13</v>
      </c>
      <c r="C9" s="27" t="n">
        <v>86400</v>
      </c>
      <c r="D9" s="28" t="s">
        <v>14</v>
      </c>
      <c r="E9" s="16"/>
      <c r="F9" s="17"/>
      <c r="G9" s="32" t="s">
        <v>15</v>
      </c>
      <c r="H9" s="32"/>
      <c r="I9" s="22" t="n">
        <f aca="false">$T$6</f>
        <v>3720.86</v>
      </c>
      <c r="J9" s="30" t="s">
        <v>16</v>
      </c>
      <c r="K9" s="24"/>
      <c r="L9" s="24"/>
      <c r="M9" s="24"/>
      <c r="N9" s="24"/>
      <c r="O9" s="33" t="n">
        <f aca="false">O6-O8</f>
        <v>20850.29</v>
      </c>
      <c r="P9" s="33"/>
      <c r="Q9" s="33"/>
      <c r="T9" s="9" t="str">
        <f aca="false">FIXED(T8,0)</f>
        <v>49,150</v>
      </c>
    </row>
    <row r="10" s="1" customFormat="true" ht="20" hidden="false" customHeight="true" outlineLevel="0" collapsed="false">
      <c r="B10" s="26" t="s">
        <v>17</v>
      </c>
      <c r="C10" s="27" t="n">
        <v>5800</v>
      </c>
      <c r="D10" s="28" t="s">
        <v>10</v>
      </c>
      <c r="E10" s="16"/>
      <c r="F10" s="17"/>
      <c r="G10" s="34" t="s">
        <v>18</v>
      </c>
      <c r="H10" s="34"/>
      <c r="I10" s="22" t="n">
        <f aca="false">$T$7</f>
        <v>17129.43</v>
      </c>
      <c r="J10" s="26" t="s">
        <v>19</v>
      </c>
      <c r="K10" s="24"/>
      <c r="L10" s="24"/>
      <c r="M10" s="24"/>
      <c r="N10" s="24"/>
      <c r="O10" s="35" t="n">
        <f aca="false">O9-$T$6</f>
        <v>17129.43</v>
      </c>
      <c r="P10" s="35"/>
      <c r="Q10" s="35"/>
      <c r="T10" s="9" t="str">
        <f aca="false">"/ "&amp;FIXED(O6,0)&amp;" DOP"</f>
        <v>/ 70,000 DOP</v>
      </c>
    </row>
    <row r="11" s="1" customFormat="true" ht="20" hidden="false" customHeight="true" outlineLevel="0" collapsed="false">
      <c r="B11" s="36" t="s">
        <v>20</v>
      </c>
      <c r="C11" s="37" t="n">
        <f aca="false">C10*$T$3-$T$8</f>
        <v>291658.29</v>
      </c>
      <c r="D11" s="37"/>
      <c r="E11" s="16"/>
      <c r="F11" s="17"/>
      <c r="G11" s="17"/>
      <c r="H11" s="17"/>
      <c r="I11" s="18"/>
      <c r="J11" s="26" t="s">
        <v>21</v>
      </c>
      <c r="K11" s="24"/>
      <c r="L11" s="24"/>
      <c r="M11" s="24"/>
      <c r="N11" s="24"/>
      <c r="O11" s="35" t="n">
        <f aca="false">$T$8/$T$3</f>
        <v>836.448434309054</v>
      </c>
      <c r="P11" s="35"/>
      <c r="Q11" s="35"/>
    </row>
    <row r="12" s="1" customFormat="true" ht="10" hidden="false" customHeight="true" outlineLevel="0" collapsed="false">
      <c r="B12" s="38"/>
      <c r="C12" s="39"/>
      <c r="D12" s="40"/>
      <c r="E12" s="38"/>
      <c r="F12" s="39"/>
      <c r="G12" s="39"/>
      <c r="H12" s="39"/>
      <c r="I12" s="40"/>
      <c r="J12" s="38"/>
      <c r="K12" s="39"/>
      <c r="L12" s="39"/>
      <c r="M12" s="39"/>
      <c r="N12" s="39"/>
      <c r="O12" s="39"/>
      <c r="P12" s="39"/>
      <c r="Q12" s="40"/>
    </row>
    <row r="13" s="1" customFormat="true" ht="10" hidden="false" customHeight="true" outlineLevel="0" collapsed="false"/>
    <row r="14" s="1" customFormat="true" ht="26" hidden="false" customHeight="true" outlineLevel="0" collapsed="false">
      <c r="B14" s="41" t="s">
        <v>22</v>
      </c>
      <c r="C14" s="11"/>
      <c r="D14" s="11"/>
      <c r="E14" s="11"/>
      <c r="F14" s="11"/>
      <c r="G14" s="11"/>
      <c r="H14" s="42" t="str">
        <f aca="false">COUNTIFS(Sabit_2026_10[Ödendi],"Evet")&amp;" / "&amp;COUNTA(Sabit_2026_10[Kalem])&amp;" ödendi · toplam "&amp;FIXED(SUM(Sabit_2026_10[DOP]),2)&amp;" DOP"</f>
        <v>6 / 11 ödendi · toplam 42,025.57 DOP</v>
      </c>
      <c r="I14" s="42"/>
      <c r="J14" s="42"/>
      <c r="K14" s="42"/>
      <c r="M14" s="41" t="s">
        <v>23</v>
      </c>
      <c r="N14" s="11"/>
      <c r="O14" s="11"/>
      <c r="P14" s="11"/>
      <c r="Q14" s="42" t="s">
        <v>14</v>
      </c>
    </row>
    <row r="15" s="1" customFormat="true" ht="20" hidden="false" customHeight="false" outlineLevel="0" collapsed="false">
      <c r="B15" s="43" t="s">
        <v>24</v>
      </c>
      <c r="C15" s="44" t="s">
        <v>25</v>
      </c>
      <c r="D15" s="44" t="s">
        <v>26</v>
      </c>
      <c r="E15" s="45" t="s">
        <v>27</v>
      </c>
      <c r="F15" s="44" t="s">
        <v>28</v>
      </c>
      <c r="G15" s="45" t="s">
        <v>14</v>
      </c>
      <c r="H15" s="45" t="s">
        <v>10</v>
      </c>
      <c r="I15" s="17"/>
      <c r="J15" s="17"/>
      <c r="K15" s="18"/>
      <c r="M15" s="16" t="s">
        <v>29</v>
      </c>
      <c r="N15" s="16"/>
      <c r="O15" s="46" t="n">
        <f aca="false">Q15</f>
        <v>38304.71</v>
      </c>
      <c r="P15" s="46"/>
      <c r="Q15" s="22" t="n">
        <f aca="false">$T$4</f>
        <v>38304.71</v>
      </c>
    </row>
    <row r="16" s="1" customFormat="true" ht="20" hidden="false" customHeight="false" outlineLevel="0" collapsed="false">
      <c r="B16" s="47" t="s">
        <v>30</v>
      </c>
      <c r="C16" s="48" t="s">
        <v>31</v>
      </c>
      <c r="D16" s="49"/>
      <c r="E16" s="50" t="n">
        <v>1337.15</v>
      </c>
      <c r="F16" s="49" t="s">
        <v>14</v>
      </c>
      <c r="G16" s="51" t="n">
        <f aca="false">IF(Sabit_2026_10[[#This Row],[Tutar]]="","",IF(Sabit_2026_10[[#This Row],[Para birimi]]="USD",Sabit_2026_10[[#This Row],[Tutar]]*$T$3,Sabit_2026_10[[#This Row],[Tutar]]))</f>
        <v>1337.15</v>
      </c>
      <c r="H16" s="52" t="n">
        <f aca="false">IF(Sabit_2026_10[[#This Row],[DOP]]="","",Sabit_2026_10[[#This Row],[DOP]]/$T$3)</f>
        <v>22.7561266167461</v>
      </c>
      <c r="I16" s="17"/>
      <c r="J16" s="17"/>
      <c r="K16" s="18"/>
      <c r="M16" s="16" t="s">
        <v>32</v>
      </c>
      <c r="N16" s="16"/>
      <c r="O16" s="46" t="n">
        <f aca="false">Q16</f>
        <v>1535</v>
      </c>
      <c r="P16" s="46"/>
      <c r="Q16" s="22" t="n">
        <f aca="false">SUMIFS(Islem_2026_10[DOP],Islem_2026_10[Kategori],M16)</f>
        <v>1535</v>
      </c>
    </row>
    <row r="17" s="1" customFormat="true" ht="20" hidden="false" customHeight="false" outlineLevel="0" collapsed="false">
      <c r="B17" s="47" t="s">
        <v>30</v>
      </c>
      <c r="C17" s="48" t="s">
        <v>33</v>
      </c>
      <c r="D17" s="49"/>
      <c r="E17" s="50" t="n">
        <v>2699</v>
      </c>
      <c r="F17" s="49" t="s">
        <v>14</v>
      </c>
      <c r="G17" s="51" t="n">
        <f aca="false">IF(Sabit_2026_10[[#This Row],[Tutar]]="","",IF(Sabit_2026_10[[#This Row],[Para birimi]]="USD",Sabit_2026_10[[#This Row],[Tutar]]*$T$3,Sabit_2026_10[[#This Row],[Tutar]]))</f>
        <v>2699</v>
      </c>
      <c r="H17" s="52" t="n">
        <f aca="false">IF(Sabit_2026_10[[#This Row],[DOP]]="","",Sabit_2026_10[[#This Row],[DOP]]/$T$3)</f>
        <v>45.9326072157931</v>
      </c>
      <c r="I17" s="17"/>
      <c r="J17" s="17"/>
      <c r="K17" s="18"/>
      <c r="M17" s="16" t="s">
        <v>34</v>
      </c>
      <c r="N17" s="16"/>
      <c r="O17" s="46" t="n">
        <f aca="false">Q17</f>
        <v>4850</v>
      </c>
      <c r="P17" s="46"/>
      <c r="Q17" s="22" t="n">
        <f aca="false">SUMIFS(Islem_2026_10[DOP],Islem_2026_10[Kategori],M17)</f>
        <v>4850</v>
      </c>
    </row>
    <row r="18" s="1" customFormat="true" ht="20" hidden="false" customHeight="false" outlineLevel="0" collapsed="false">
      <c r="B18" s="47" t="s">
        <v>30</v>
      </c>
      <c r="C18" s="48" t="s">
        <v>35</v>
      </c>
      <c r="D18" s="49"/>
      <c r="E18" s="50" t="n">
        <v>5640</v>
      </c>
      <c r="F18" s="49" t="s">
        <v>14</v>
      </c>
      <c r="G18" s="51" t="n">
        <f aca="false">IF(Sabit_2026_10[[#This Row],[Tutar]]="","",IF(Sabit_2026_10[[#This Row],[Para birimi]]="USD",Sabit_2026_10[[#This Row],[Tutar]]*$T$3,Sabit_2026_10[[#This Row],[Tutar]]))</f>
        <v>5640</v>
      </c>
      <c r="H18" s="52" t="n">
        <f aca="false">IF(Sabit_2026_10[[#This Row],[DOP]]="","",Sabit_2026_10[[#This Row],[DOP]]/$T$3)</f>
        <v>95.9836623553438</v>
      </c>
      <c r="I18" s="17"/>
      <c r="J18" s="17"/>
      <c r="K18" s="18"/>
      <c r="M18" s="16" t="s">
        <v>36</v>
      </c>
      <c r="N18" s="16"/>
      <c r="O18" s="46" t="n">
        <f aca="false">Q18</f>
        <v>2320</v>
      </c>
      <c r="P18" s="46"/>
      <c r="Q18" s="22" t="n">
        <f aca="false">SUMIFS(Islem_2026_10[DOP],Islem_2026_10[Kategori],M18)</f>
        <v>2320</v>
      </c>
    </row>
    <row r="19" s="1" customFormat="true" ht="20" hidden="false" customHeight="false" outlineLevel="0" collapsed="false">
      <c r="B19" s="47" t="s">
        <v>30</v>
      </c>
      <c r="C19" s="48" t="s">
        <v>37</v>
      </c>
      <c r="D19" s="49"/>
      <c r="E19" s="50" t="n">
        <v>15000</v>
      </c>
      <c r="F19" s="49" t="s">
        <v>14</v>
      </c>
      <c r="G19" s="51" t="n">
        <f aca="false">IF(Sabit_2026_10[[#This Row],[Tutar]]="","",IF(Sabit_2026_10[[#This Row],[Para birimi]]="USD",Sabit_2026_10[[#This Row],[Tutar]]*$T$3,Sabit_2026_10[[#This Row],[Tutar]]))</f>
        <v>15000</v>
      </c>
      <c r="H19" s="52" t="n">
        <f aca="false">IF(Sabit_2026_10[[#This Row],[DOP]]="","",Sabit_2026_10[[#This Row],[DOP]]/$T$3)</f>
        <v>255.275697753574</v>
      </c>
      <c r="I19" s="17"/>
      <c r="J19" s="17"/>
      <c r="K19" s="18"/>
      <c r="M19" s="16" t="s">
        <v>38</v>
      </c>
      <c r="N19" s="16"/>
      <c r="O19" s="46" t="n">
        <f aca="false">Q19</f>
        <v>900</v>
      </c>
      <c r="P19" s="46"/>
      <c r="Q19" s="22" t="n">
        <f aca="false">SUMIFS(Islem_2026_10[DOP],Islem_2026_10[Kategori],M19)</f>
        <v>900</v>
      </c>
    </row>
    <row r="20" s="1" customFormat="true" ht="20" hidden="false" customHeight="false" outlineLevel="0" collapsed="false">
      <c r="B20" s="47" t="s">
        <v>30</v>
      </c>
      <c r="C20" s="48" t="s">
        <v>39</v>
      </c>
      <c r="D20" s="49" t="n">
        <v>5</v>
      </c>
      <c r="E20" s="50" t="n">
        <v>106</v>
      </c>
      <c r="F20" s="49" t="s">
        <v>10</v>
      </c>
      <c r="G20" s="51" t="n">
        <f aca="false">IF(Sabit_2026_10[[#This Row],[Tutar]]="","",IF(Sabit_2026_10[[#This Row],[Para birimi]]="USD",Sabit_2026_10[[#This Row],[Tutar]]*$T$3,Sabit_2026_10[[#This Row],[Tutar]]))</f>
        <v>6228.56</v>
      </c>
      <c r="H20" s="52" t="n">
        <f aca="false">IF(Sabit_2026_10[[#This Row],[DOP]]="","",Sabit_2026_10[[#This Row],[DOP]]/$T$3)</f>
        <v>106</v>
      </c>
      <c r="I20" s="17"/>
      <c r="J20" s="17"/>
      <c r="K20" s="18"/>
      <c r="M20" s="16" t="s">
        <v>40</v>
      </c>
      <c r="N20" s="16"/>
      <c r="O20" s="46" t="n">
        <f aca="false">Q20</f>
        <v>1240</v>
      </c>
      <c r="P20" s="46"/>
      <c r="Q20" s="22" t="n">
        <f aca="false">SUMIFS(Islem_2026_10[DOP],Islem_2026_10[Kategori],M20)</f>
        <v>1240</v>
      </c>
    </row>
    <row r="21" s="1" customFormat="true" ht="20" hidden="false" customHeight="false" outlineLevel="0" collapsed="false">
      <c r="B21" s="47" t="s">
        <v>99</v>
      </c>
      <c r="C21" s="48" t="s">
        <v>41</v>
      </c>
      <c r="D21" s="49" t="n">
        <v>16</v>
      </c>
      <c r="E21" s="50" t="n">
        <v>121.56</v>
      </c>
      <c r="F21" s="49" t="s">
        <v>14</v>
      </c>
      <c r="G21" s="51" t="n">
        <f aca="false">IF(Sabit_2026_10[[#This Row],[Tutar]]="","",IF(Sabit_2026_10[[#This Row],[Para birimi]]="USD",Sabit_2026_10[[#This Row],[Tutar]]*$T$3,Sabit_2026_10[[#This Row],[Tutar]]))</f>
        <v>121.56</v>
      </c>
      <c r="H21" s="52" t="n">
        <f aca="false">IF(Sabit_2026_10[[#This Row],[DOP]]="","",Sabit_2026_10[[#This Row],[DOP]]/$T$3)</f>
        <v>2.06875425459496</v>
      </c>
      <c r="I21" s="17"/>
      <c r="J21" s="17"/>
      <c r="K21" s="18"/>
      <c r="M21" s="16" t="s">
        <v>42</v>
      </c>
      <c r="N21" s="16"/>
      <c r="O21" s="46" t="n">
        <f aca="false">Q21</f>
        <v>0</v>
      </c>
      <c r="P21" s="46"/>
      <c r="Q21" s="22" t="n">
        <f aca="false">SUMIFS(Islem_2026_10[DOP],Islem_2026_10[Kategori],M21)</f>
        <v>0</v>
      </c>
    </row>
    <row r="22" s="1" customFormat="true" ht="20" hidden="false" customHeight="false" outlineLevel="0" collapsed="false">
      <c r="B22" s="47" t="s">
        <v>99</v>
      </c>
      <c r="C22" s="48" t="s">
        <v>43</v>
      </c>
      <c r="D22" s="49" t="n">
        <v>17</v>
      </c>
      <c r="E22" s="50" t="n">
        <v>604</v>
      </c>
      <c r="F22" s="49" t="s">
        <v>14</v>
      </c>
      <c r="G22" s="51" t="n">
        <f aca="false">IF(Sabit_2026_10[[#This Row],[Tutar]]="","",IF(Sabit_2026_10[[#This Row],[Para birimi]]="USD",Sabit_2026_10[[#This Row],[Tutar]]*$T$3,Sabit_2026_10[[#This Row],[Tutar]]))</f>
        <v>604</v>
      </c>
      <c r="H22" s="52" t="n">
        <f aca="false">IF(Sabit_2026_10[[#This Row],[DOP]]="","",Sabit_2026_10[[#This Row],[DOP]]/$T$3)</f>
        <v>10.2791014295439</v>
      </c>
      <c r="I22" s="17"/>
      <c r="J22" s="17"/>
      <c r="K22" s="18"/>
      <c r="M22" s="16" t="s">
        <v>44</v>
      </c>
      <c r="N22" s="16"/>
      <c r="O22" s="46" t="n">
        <f aca="false">Q22</f>
        <v>0</v>
      </c>
      <c r="P22" s="46"/>
      <c r="Q22" s="22" t="n">
        <f aca="false">SUMIFS(Islem_2026_10[DOP],Islem_2026_10[Kategori],M22)</f>
        <v>0</v>
      </c>
    </row>
    <row r="23" s="1" customFormat="true" ht="20" hidden="false" customHeight="false" outlineLevel="0" collapsed="false">
      <c r="B23" s="47" t="s">
        <v>99</v>
      </c>
      <c r="C23" s="48" t="s">
        <v>45</v>
      </c>
      <c r="D23" s="49"/>
      <c r="E23" s="50" t="n">
        <v>308</v>
      </c>
      <c r="F23" s="49" t="s">
        <v>14</v>
      </c>
      <c r="G23" s="51" t="n">
        <f aca="false">IF(Sabit_2026_10[[#This Row],[Tutar]]="","",IF(Sabit_2026_10[[#This Row],[Para birimi]]="USD",Sabit_2026_10[[#This Row],[Tutar]]*$T$3,Sabit_2026_10[[#This Row],[Tutar]]))</f>
        <v>308</v>
      </c>
      <c r="H23" s="52" t="n">
        <f aca="false">IF(Sabit_2026_10[[#This Row],[DOP]]="","",Sabit_2026_10[[#This Row],[DOP]]/$T$3)</f>
        <v>5.24166099387338</v>
      </c>
      <c r="I23" s="17"/>
      <c r="J23" s="17"/>
      <c r="K23" s="18"/>
      <c r="M23" s="16" t="s">
        <v>46</v>
      </c>
      <c r="N23" s="16"/>
      <c r="O23" s="46" t="n">
        <f aca="false">Q23</f>
        <v>0</v>
      </c>
      <c r="P23" s="46"/>
      <c r="Q23" s="22" t="n">
        <f aca="false">SUMIFS(Islem_2026_10[DOP],Islem_2026_10[Kategori],M23)</f>
        <v>0</v>
      </c>
    </row>
    <row r="24" s="1" customFormat="true" ht="20" hidden="false" customHeight="false" outlineLevel="0" collapsed="false">
      <c r="B24" s="47" t="s">
        <v>99</v>
      </c>
      <c r="C24" s="48" t="s">
        <v>47</v>
      </c>
      <c r="D24" s="49" t="n">
        <v>17</v>
      </c>
      <c r="E24" s="50" t="n">
        <v>1550</v>
      </c>
      <c r="F24" s="49" t="s">
        <v>14</v>
      </c>
      <c r="G24" s="51" t="n">
        <f aca="false">IF(Sabit_2026_10[[#This Row],[Tutar]]="","",IF(Sabit_2026_10[[#This Row],[Para birimi]]="USD",Sabit_2026_10[[#This Row],[Tutar]]*$T$3,Sabit_2026_10[[#This Row],[Tutar]]))</f>
        <v>1550</v>
      </c>
      <c r="H24" s="52" t="n">
        <f aca="false">IF(Sabit_2026_10[[#This Row],[DOP]]="","",Sabit_2026_10[[#This Row],[DOP]]/$T$3)</f>
        <v>26.3784887678693</v>
      </c>
      <c r="I24" s="17"/>
      <c r="J24" s="17"/>
      <c r="K24" s="18"/>
      <c r="M24" s="16" t="s">
        <v>48</v>
      </c>
      <c r="N24" s="16"/>
      <c r="O24" s="46" t="n">
        <f aca="false">Q24</f>
        <v>0</v>
      </c>
      <c r="P24" s="46"/>
      <c r="Q24" s="22" t="n">
        <f aca="false">SUMIFS(Islem_2026_10[DOP],Islem_2026_10[Kategori],M24)</f>
        <v>0</v>
      </c>
    </row>
    <row r="25" s="1" customFormat="true" ht="20" hidden="false" customHeight="false" outlineLevel="0" collapsed="false">
      <c r="B25" s="47" t="s">
        <v>99</v>
      </c>
      <c r="C25" s="48" t="s">
        <v>49</v>
      </c>
      <c r="D25" s="49"/>
      <c r="E25" s="50" t="n">
        <v>1137.3</v>
      </c>
      <c r="F25" s="49" t="s">
        <v>14</v>
      </c>
      <c r="G25" s="51" t="n">
        <f aca="false">IF(Sabit_2026_10[[#This Row],[Tutar]]="","",IF(Sabit_2026_10[[#This Row],[Para birimi]]="USD",Sabit_2026_10[[#This Row],[Tutar]]*$T$3,Sabit_2026_10[[#This Row],[Tutar]]))</f>
        <v>1137.3</v>
      </c>
      <c r="H25" s="52" t="n">
        <f aca="false">IF(Sabit_2026_10[[#This Row],[DOP]]="","",Sabit_2026_10[[#This Row],[DOP]]/$T$3)</f>
        <v>19.355003403676</v>
      </c>
      <c r="I25" s="17"/>
      <c r="J25" s="17"/>
      <c r="K25" s="18"/>
      <c r="M25" s="16" t="s">
        <v>50</v>
      </c>
      <c r="N25" s="16"/>
      <c r="O25" s="46" t="n">
        <f aca="false">Q25</f>
        <v>0</v>
      </c>
      <c r="P25" s="46"/>
      <c r="Q25" s="22" t="n">
        <f aca="false">SUMIFS(Islem_2026_10[DOP],Islem_2026_10[Kategori],M25)</f>
        <v>0</v>
      </c>
    </row>
    <row r="26" s="1" customFormat="true" ht="20" hidden="false" customHeight="false" outlineLevel="0" collapsed="false">
      <c r="B26" s="47" t="s">
        <v>30</v>
      </c>
      <c r="C26" s="48" t="s">
        <v>51</v>
      </c>
      <c r="D26" s="49"/>
      <c r="E26" s="50" t="n">
        <v>7400</v>
      </c>
      <c r="F26" s="49" t="s">
        <v>14</v>
      </c>
      <c r="G26" s="51" t="n">
        <f aca="false">IF(Sabit_2026_10[[#This Row],[Tutar]]="","",IF(Sabit_2026_10[[#This Row],[Para birimi]]="USD",Sabit_2026_10[[#This Row],[Tutar]]*$T$3,Sabit_2026_10[[#This Row],[Tutar]]))</f>
        <v>7400</v>
      </c>
      <c r="H26" s="52" t="n">
        <f aca="false">IF(Sabit_2026_10[[#This Row],[DOP]]="","",Sabit_2026_10[[#This Row],[DOP]]/$T$3)</f>
        <v>125.936010891763</v>
      </c>
      <c r="I26" s="17"/>
      <c r="J26" s="17"/>
      <c r="K26" s="18"/>
      <c r="M26" s="38"/>
      <c r="N26" s="39"/>
      <c r="O26" s="39"/>
      <c r="P26" s="39"/>
      <c r="Q26" s="40"/>
    </row>
    <row r="27" s="1" customFormat="true" ht="20" hidden="false" customHeight="false" outlineLevel="0" collapsed="false">
      <c r="B27" s="47"/>
      <c r="C27" s="48"/>
      <c r="D27" s="49"/>
      <c r="E27" s="50"/>
      <c r="F27" s="49"/>
      <c r="G27" s="51" t="str">
        <f aca="false">IF(Sabit_2026_10[[#This Row],[Tutar]]="","",IF(Sabit_2026_10[[#This Row],[Para birimi]]="USD",Sabit_2026_10[[#This Row],[Tutar]]*$T$3,Sabit_2026_10[[#This Row],[Tutar]]))</f>
        <v/>
      </c>
      <c r="H27" s="52" t="str">
        <f aca="false">IF(Sabit_2026_10[[#This Row],[DOP]]="","",Sabit_2026_10[[#This Row],[DOP]]/$T$3)</f>
        <v/>
      </c>
      <c r="I27" s="17"/>
      <c r="J27" s="17"/>
      <c r="K27" s="18"/>
    </row>
    <row r="28" s="1" customFormat="true" ht="20" hidden="false" customHeight="false" outlineLevel="0" collapsed="false">
      <c r="B28" s="47"/>
      <c r="C28" s="48"/>
      <c r="D28" s="49"/>
      <c r="E28" s="50"/>
      <c r="F28" s="49"/>
      <c r="G28" s="51" t="str">
        <f aca="false">IF(Sabit_2026_10[[#This Row],[Tutar]]="","",IF(Sabit_2026_10[[#This Row],[Para birimi]]="USD",Sabit_2026_10[[#This Row],[Tutar]]*$T$3,Sabit_2026_10[[#This Row],[Tutar]]))</f>
        <v/>
      </c>
      <c r="H28" s="52" t="str">
        <f aca="false">IF(Sabit_2026_10[[#This Row],[DOP]]="","",Sabit_2026_10[[#This Row],[DOP]]/$T$3)</f>
        <v/>
      </c>
      <c r="I28" s="17"/>
      <c r="J28" s="17"/>
      <c r="K28" s="18"/>
      <c r="M28" s="41" t="s">
        <v>52</v>
      </c>
      <c r="N28" s="11"/>
      <c r="O28" s="42" t="str">
        <f aca="false">"Ortalama "&amp;FIXED($T$3,2)</f>
        <v>Ortalama 58.76</v>
      </c>
      <c r="P28" s="42"/>
      <c r="Q28" s="42"/>
    </row>
    <row r="29" s="1" customFormat="true" ht="20" hidden="false" customHeight="false" outlineLevel="0" collapsed="false">
      <c r="B29" s="47"/>
      <c r="C29" s="48"/>
      <c r="D29" s="49"/>
      <c r="E29" s="50"/>
      <c r="F29" s="49"/>
      <c r="G29" s="51" t="str">
        <f aca="false">IF(Sabit_2026_10[[#This Row],[Tutar]]="","",IF(Sabit_2026_10[[#This Row],[Para birimi]]="USD",Sabit_2026_10[[#This Row],[Tutar]]*$T$3,Sabit_2026_10[[#This Row],[Tutar]]))</f>
        <v/>
      </c>
      <c r="H29" s="52" t="str">
        <f aca="false">IF(Sabit_2026_10[[#This Row],[DOP]]="","",Sabit_2026_10[[#This Row],[DOP]]/$T$3)</f>
        <v/>
      </c>
      <c r="I29" s="17"/>
      <c r="J29" s="17"/>
      <c r="K29" s="18"/>
      <c r="M29" s="43" t="s">
        <v>53</v>
      </c>
      <c r="N29" s="44" t="s">
        <v>54</v>
      </c>
      <c r="O29" s="45" t="s">
        <v>10</v>
      </c>
      <c r="P29" s="45" t="s">
        <v>55</v>
      </c>
      <c r="Q29" s="45" t="s">
        <v>14</v>
      </c>
    </row>
    <row r="30" s="1" customFormat="true" ht="20" hidden="false" customHeight="false" outlineLevel="0" collapsed="false">
      <c r="B30" s="47"/>
      <c r="C30" s="48"/>
      <c r="D30" s="49"/>
      <c r="E30" s="50"/>
      <c r="F30" s="49"/>
      <c r="G30" s="51" t="str">
        <f aca="false">IF(Sabit_2026_10[[#This Row],[Tutar]]="","",IF(Sabit_2026_10[[#This Row],[Para birimi]]="USD",Sabit_2026_10[[#This Row],[Tutar]]*$T$3,Sabit_2026_10[[#This Row],[Tutar]]))</f>
        <v/>
      </c>
      <c r="H30" s="52" t="str">
        <f aca="false">IF(Sabit_2026_10[[#This Row],[DOP]]="","",Sabit_2026_10[[#This Row],[DOP]]/$T$3)</f>
        <v/>
      </c>
      <c r="I30" s="17"/>
      <c r="J30" s="17"/>
      <c r="K30" s="18"/>
      <c r="M30" s="53" t="n">
        <v>46297</v>
      </c>
      <c r="N30" s="48" t="s">
        <v>56</v>
      </c>
      <c r="O30" s="50" t="n">
        <v>1500</v>
      </c>
      <c r="P30" s="54" t="n">
        <v>58.76</v>
      </c>
      <c r="Q30" s="50" t="n">
        <f aca="false">IF(Transfer_2026_10[[#This Row],[USD]]="","",Transfer_2026_10[[#This Row],[USD]]*Transfer_2026_10[[#This Row],[Kur]])</f>
        <v>88140</v>
      </c>
    </row>
    <row r="31" s="1" customFormat="true" ht="6" hidden="false" customHeight="true" outlineLevel="0" collapsed="false">
      <c r="B31" s="38"/>
      <c r="C31" s="39"/>
      <c r="D31" s="39"/>
      <c r="E31" s="39"/>
      <c r="F31" s="39"/>
      <c r="G31" s="39"/>
      <c r="H31" s="39"/>
      <c r="I31" s="39"/>
      <c r="J31" s="39"/>
      <c r="K31" s="40"/>
      <c r="M31" s="53"/>
      <c r="N31" s="48"/>
      <c r="O31" s="50"/>
      <c r="P31" s="54"/>
      <c r="Q31" s="50" t="str">
        <f aca="false">IF(Transfer_2026_10[[#This Row],[USD]]="","",Transfer_2026_10[[#This Row],[USD]]*Transfer_2026_10[[#This Row],[Kur]])</f>
        <v/>
      </c>
    </row>
    <row r="32" s="1" customFormat="true" ht="20" hidden="false" customHeight="false" outlineLevel="0" collapsed="false">
      <c r="M32" s="53"/>
      <c r="N32" s="48"/>
      <c r="O32" s="50"/>
      <c r="P32" s="54"/>
      <c r="Q32" s="50" t="str">
        <f aca="false">IF(Transfer_2026_10[[#This Row],[USD]]="","",Transfer_2026_10[[#This Row],[USD]]*Transfer_2026_10[[#This Row],[Kur]])</f>
        <v/>
      </c>
    </row>
    <row r="33" s="1" customFormat="true" ht="20" hidden="false" customHeight="false" outlineLevel="0" collapsed="false">
      <c r="M33" s="53"/>
      <c r="N33" s="48"/>
      <c r="O33" s="50"/>
      <c r="P33" s="54"/>
      <c r="Q33" s="50" t="str">
        <f aca="false">IF(Transfer_2026_10[[#This Row],[USD]]="","",Transfer_2026_10[[#This Row],[USD]]*Transfer_2026_10[[#This Row],[Kur]])</f>
        <v/>
      </c>
    </row>
    <row r="34" s="1" customFormat="true" ht="20" hidden="false" customHeight="false" outlineLevel="0" collapsed="false">
      <c r="M34" s="53"/>
      <c r="N34" s="48"/>
      <c r="O34" s="50"/>
      <c r="P34" s="54"/>
      <c r="Q34" s="50" t="str">
        <f aca="false">IF(Transfer_2026_10[[#This Row],[USD]]="","",Transfer_2026_10[[#This Row],[USD]]*Transfer_2026_10[[#This Row],[Kur]])</f>
        <v/>
      </c>
    </row>
    <row r="35" s="1" customFormat="true" ht="6" hidden="false" customHeight="true" outlineLevel="0" collapsed="false">
      <c r="M35" s="38"/>
      <c r="N35" s="39"/>
      <c r="O35" s="39"/>
      <c r="P35" s="39"/>
      <c r="Q35" s="40"/>
    </row>
    <row r="37" s="1" customFormat="true" ht="26" hidden="false" customHeight="true" outlineLevel="0" collapsed="false">
      <c r="B37" s="41" t="s">
        <v>58</v>
      </c>
      <c r="C37" s="11"/>
      <c r="D37" s="11"/>
      <c r="E37" s="11"/>
      <c r="F37" s="11"/>
      <c r="G37" s="11"/>
      <c r="H37" s="42" t="str">
        <f aca="false">COUNT(Islem_2026_10[Tutar])&amp;" işlem · toplam "&amp;FIXED($T$5,2)&amp;" DOP"</f>
        <v>7 işlem · toplam 10,845.00 DOP</v>
      </c>
      <c r="I37" s="42"/>
      <c r="J37" s="42"/>
      <c r="K37" s="42"/>
    </row>
    <row r="38" s="1" customFormat="true" ht="20" hidden="false" customHeight="false" outlineLevel="0" collapsed="false">
      <c r="B38" s="43" t="s">
        <v>53</v>
      </c>
      <c r="C38" s="44" t="s">
        <v>59</v>
      </c>
      <c r="D38" s="44" t="s">
        <v>60</v>
      </c>
      <c r="E38" s="44" t="s">
        <v>61</v>
      </c>
      <c r="F38" s="44" t="s">
        <v>62</v>
      </c>
      <c r="G38" s="45" t="s">
        <v>27</v>
      </c>
      <c r="H38" s="44" t="s">
        <v>28</v>
      </c>
      <c r="I38" s="45" t="s">
        <v>14</v>
      </c>
      <c r="J38" s="45" t="s">
        <v>10</v>
      </c>
      <c r="K38" s="44" t="s">
        <v>63</v>
      </c>
    </row>
    <row r="39" s="1" customFormat="true" ht="20" hidden="false" customHeight="false" outlineLevel="0" collapsed="false">
      <c r="B39" s="53" t="n">
        <v>46296</v>
      </c>
      <c r="C39" s="48" t="s">
        <v>64</v>
      </c>
      <c r="D39" s="55" t="s">
        <v>65</v>
      </c>
      <c r="E39" s="48" t="s">
        <v>34</v>
      </c>
      <c r="F39" s="55" t="s">
        <v>66</v>
      </c>
      <c r="G39" s="50" t="n">
        <v>4850</v>
      </c>
      <c r="H39" s="49" t="s">
        <v>14</v>
      </c>
      <c r="I39" s="51" t="n">
        <f aca="false">IF(Islem_2026_10[[#This Row],[Tutar]]="","",IF(Islem_2026_10[[#This Row],[Para birimi]]="USD",Islem_2026_10[[#This Row],[Tutar]]*$T$3,Islem_2026_10[[#This Row],[Tutar]]))</f>
        <v>4850</v>
      </c>
      <c r="J39" s="52" t="n">
        <f aca="false">IF(Islem_2026_10[[#This Row],[DOP]]="","",Islem_2026_10[[#This Row],[DOP]]/$T$3)</f>
        <v>82.5391422736556</v>
      </c>
      <c r="K39" s="56"/>
    </row>
    <row r="40" s="1" customFormat="true" ht="20" hidden="false" customHeight="false" outlineLevel="0" collapsed="false">
      <c r="B40" s="53" t="n">
        <v>46297</v>
      </c>
      <c r="C40" s="48" t="s">
        <v>100</v>
      </c>
      <c r="D40" s="55" t="s">
        <v>67</v>
      </c>
      <c r="E40" s="48" t="s">
        <v>36</v>
      </c>
      <c r="F40" s="55" t="s">
        <v>66</v>
      </c>
      <c r="G40" s="50" t="n">
        <v>320</v>
      </c>
      <c r="H40" s="49" t="s">
        <v>14</v>
      </c>
      <c r="I40" s="51" t="n">
        <f aca="false">IF(Islem_2026_10[[#This Row],[Tutar]]="","",IF(Islem_2026_10[[#This Row],[Para birimi]]="USD",Islem_2026_10[[#This Row],[Tutar]]*$T$3,Islem_2026_10[[#This Row],[Tutar]]))</f>
        <v>320</v>
      </c>
      <c r="J40" s="52" t="n">
        <f aca="false">IF(Islem_2026_10[[#This Row],[DOP]]="","",Islem_2026_10[[#This Row],[DOP]]/$T$3)</f>
        <v>5.44588155207624</v>
      </c>
      <c r="K40" s="56"/>
    </row>
    <row r="41" s="1" customFormat="true" ht="20" hidden="false" customHeight="false" outlineLevel="0" collapsed="false">
      <c r="B41" s="53" t="n">
        <v>46298</v>
      </c>
      <c r="C41" s="48" t="s">
        <v>68</v>
      </c>
      <c r="D41" s="55" t="s">
        <v>69</v>
      </c>
      <c r="E41" s="48" t="s">
        <v>32</v>
      </c>
      <c r="F41" s="55" t="s">
        <v>66</v>
      </c>
      <c r="G41" s="50" t="n">
        <v>1150</v>
      </c>
      <c r="H41" s="49" t="s">
        <v>14</v>
      </c>
      <c r="I41" s="51" t="n">
        <f aca="false">IF(Islem_2026_10[[#This Row],[Tutar]]="","",IF(Islem_2026_10[[#This Row],[Para birimi]]="USD",Islem_2026_10[[#This Row],[Tutar]]*$T$3,Islem_2026_10[[#This Row],[Tutar]]))</f>
        <v>1150</v>
      </c>
      <c r="J41" s="52" t="n">
        <f aca="false">IF(Islem_2026_10[[#This Row],[DOP]]="","",Islem_2026_10[[#This Row],[DOP]]/$T$3)</f>
        <v>19.571136827774</v>
      </c>
      <c r="K41" s="56"/>
    </row>
    <row r="42" s="1" customFormat="true" ht="20" hidden="false" customHeight="false" outlineLevel="0" collapsed="false">
      <c r="B42" s="53" t="n">
        <v>46299</v>
      </c>
      <c r="C42" s="48" t="s">
        <v>91</v>
      </c>
      <c r="D42" s="55" t="s">
        <v>92</v>
      </c>
      <c r="E42" s="48" t="s">
        <v>38</v>
      </c>
      <c r="F42" s="55" t="s">
        <v>74</v>
      </c>
      <c r="G42" s="50" t="n">
        <v>900</v>
      </c>
      <c r="H42" s="49" t="s">
        <v>14</v>
      </c>
      <c r="I42" s="51" t="n">
        <f aca="false">IF(Islem_2026_10[[#This Row],[Tutar]]="","",IF(Islem_2026_10[[#This Row],[Para birimi]]="USD",Islem_2026_10[[#This Row],[Tutar]]*$T$3,Islem_2026_10[[#This Row],[Tutar]]))</f>
        <v>900</v>
      </c>
      <c r="J42" s="52" t="n">
        <f aca="false">IF(Islem_2026_10[[#This Row],[DOP]]="","",Islem_2026_10[[#This Row],[DOP]]/$T$3)</f>
        <v>15.3165418652144</v>
      </c>
      <c r="K42" s="56"/>
    </row>
    <row r="43" s="1" customFormat="true" ht="20" hidden="false" customHeight="false" outlineLevel="0" collapsed="false">
      <c r="B43" s="53" t="n">
        <v>46300</v>
      </c>
      <c r="C43" s="48" t="s">
        <v>93</v>
      </c>
      <c r="D43" s="55" t="s">
        <v>94</v>
      </c>
      <c r="E43" s="48" t="s">
        <v>40</v>
      </c>
      <c r="F43" s="55" t="s">
        <v>66</v>
      </c>
      <c r="G43" s="50" t="n">
        <v>1240</v>
      </c>
      <c r="H43" s="49" t="s">
        <v>14</v>
      </c>
      <c r="I43" s="51" t="n">
        <f aca="false">IF(Islem_2026_10[[#This Row],[Tutar]]="","",IF(Islem_2026_10[[#This Row],[Para birimi]]="USD",Islem_2026_10[[#This Row],[Tutar]]*$T$3,Islem_2026_10[[#This Row],[Tutar]]))</f>
        <v>1240</v>
      </c>
      <c r="J43" s="52" t="n">
        <f aca="false">IF(Islem_2026_10[[#This Row],[DOP]]="","",Islem_2026_10[[#This Row],[DOP]]/$T$3)</f>
        <v>21.1027910142954</v>
      </c>
      <c r="K43" s="56"/>
    </row>
    <row r="44" s="1" customFormat="true" ht="20" hidden="false" customHeight="false" outlineLevel="0" collapsed="false">
      <c r="B44" s="53" t="n">
        <v>46301</v>
      </c>
      <c r="C44" s="48" t="s">
        <v>70</v>
      </c>
      <c r="D44" s="55" t="s">
        <v>90</v>
      </c>
      <c r="E44" s="48" t="s">
        <v>36</v>
      </c>
      <c r="F44" s="55" t="s">
        <v>66</v>
      </c>
      <c r="G44" s="50" t="n">
        <v>2000</v>
      </c>
      <c r="H44" s="49" t="s">
        <v>14</v>
      </c>
      <c r="I44" s="51" t="n">
        <f aca="false">IF(Islem_2026_10[[#This Row],[Tutar]]="","",IF(Islem_2026_10[[#This Row],[Para birimi]]="USD",Islem_2026_10[[#This Row],[Tutar]]*$T$3,Islem_2026_10[[#This Row],[Tutar]]))</f>
        <v>2000</v>
      </c>
      <c r="J44" s="52" t="n">
        <f aca="false">IF(Islem_2026_10[[#This Row],[DOP]]="","",Islem_2026_10[[#This Row],[DOP]]/$T$3)</f>
        <v>34.0367597004765</v>
      </c>
      <c r="K44" s="56"/>
    </row>
    <row r="45" s="1" customFormat="true" ht="20" hidden="false" customHeight="false" outlineLevel="0" collapsed="false">
      <c r="B45" s="53" t="n">
        <v>46302</v>
      </c>
      <c r="C45" s="48" t="s">
        <v>101</v>
      </c>
      <c r="D45" s="55" t="s">
        <v>102</v>
      </c>
      <c r="E45" s="48" t="s">
        <v>32</v>
      </c>
      <c r="F45" s="55" t="s">
        <v>66</v>
      </c>
      <c r="G45" s="50" t="n">
        <v>385</v>
      </c>
      <c r="H45" s="49" t="s">
        <v>14</v>
      </c>
      <c r="I45" s="51" t="n">
        <f aca="false">IF(Islem_2026_10[[#This Row],[Tutar]]="","",IF(Islem_2026_10[[#This Row],[Para birimi]]="USD",Islem_2026_10[[#This Row],[Tutar]]*$T$3,Islem_2026_10[[#This Row],[Tutar]]))</f>
        <v>385</v>
      </c>
      <c r="J45" s="52" t="n">
        <f aca="false">IF(Islem_2026_10[[#This Row],[DOP]]="","",Islem_2026_10[[#This Row],[DOP]]/$T$3)</f>
        <v>6.55207624234173</v>
      </c>
      <c r="K45" s="56"/>
    </row>
    <row r="46" s="1" customFormat="true" ht="20" hidden="false" customHeight="false" outlineLevel="0" collapsed="false">
      <c r="B46" s="53"/>
      <c r="C46" s="48"/>
      <c r="D46" s="55"/>
      <c r="E46" s="48"/>
      <c r="F46" s="55"/>
      <c r="G46" s="50"/>
      <c r="H46" s="49"/>
      <c r="I46" s="51" t="str">
        <f aca="false">IF(Islem_2026_10[[#This Row],[Tutar]]="","",IF(Islem_2026_10[[#This Row],[Para birimi]]="USD",Islem_2026_10[[#This Row],[Tutar]]*$T$3,Islem_2026_10[[#This Row],[Tutar]]))</f>
        <v/>
      </c>
      <c r="J46" s="52" t="str">
        <f aca="false">IF(Islem_2026_10[[#This Row],[DOP]]="","",Islem_2026_10[[#This Row],[DOP]]/$T$3)</f>
        <v/>
      </c>
      <c r="K46" s="56"/>
    </row>
    <row r="47" s="1" customFormat="true" ht="20" hidden="false" customHeight="false" outlineLevel="0" collapsed="false">
      <c r="B47" s="53"/>
      <c r="C47" s="48"/>
      <c r="D47" s="55"/>
      <c r="E47" s="48"/>
      <c r="F47" s="55"/>
      <c r="G47" s="50"/>
      <c r="H47" s="49"/>
      <c r="I47" s="51" t="str">
        <f aca="false">IF(Islem_2026_10[[#This Row],[Tutar]]="","",IF(Islem_2026_10[[#This Row],[Para birimi]]="USD",Islem_2026_10[[#This Row],[Tutar]]*$T$3,Islem_2026_10[[#This Row],[Tutar]]))</f>
        <v/>
      </c>
      <c r="J47" s="52" t="str">
        <f aca="false">IF(Islem_2026_10[[#This Row],[DOP]]="","",Islem_2026_10[[#This Row],[DOP]]/$T$3)</f>
        <v/>
      </c>
      <c r="K47" s="56"/>
    </row>
    <row r="48" s="1" customFormat="true" ht="20" hidden="false" customHeight="false" outlineLevel="0" collapsed="false">
      <c r="B48" s="53"/>
      <c r="C48" s="48"/>
      <c r="D48" s="55"/>
      <c r="E48" s="48"/>
      <c r="F48" s="55"/>
      <c r="G48" s="50"/>
      <c r="H48" s="49"/>
      <c r="I48" s="51" t="str">
        <f aca="false">IF(Islem_2026_10[[#This Row],[Tutar]]="","",IF(Islem_2026_10[[#This Row],[Para birimi]]="USD",Islem_2026_10[[#This Row],[Tutar]]*$T$3,Islem_2026_10[[#This Row],[Tutar]]))</f>
        <v/>
      </c>
      <c r="J48" s="52" t="str">
        <f aca="false">IF(Islem_2026_10[[#This Row],[DOP]]="","",Islem_2026_10[[#This Row],[DOP]]/$T$3)</f>
        <v/>
      </c>
      <c r="K48" s="56"/>
    </row>
    <row r="49" s="1" customFormat="true" ht="20" hidden="false" customHeight="false" outlineLevel="0" collapsed="false">
      <c r="B49" s="53"/>
      <c r="C49" s="48"/>
      <c r="D49" s="55"/>
      <c r="E49" s="48"/>
      <c r="F49" s="55"/>
      <c r="G49" s="50"/>
      <c r="H49" s="49"/>
      <c r="I49" s="51" t="str">
        <f aca="false">IF(Islem_2026_10[[#This Row],[Tutar]]="","",IF(Islem_2026_10[[#This Row],[Para birimi]]="USD",Islem_2026_10[[#This Row],[Tutar]]*$T$3,Islem_2026_10[[#This Row],[Tutar]]))</f>
        <v/>
      </c>
      <c r="J49" s="52" t="str">
        <f aca="false">IF(Islem_2026_10[[#This Row],[DOP]]="","",Islem_2026_10[[#This Row],[DOP]]/$T$3)</f>
        <v/>
      </c>
      <c r="K49" s="56"/>
    </row>
    <row r="50" s="1" customFormat="true" ht="20" hidden="false" customHeight="false" outlineLevel="0" collapsed="false">
      <c r="B50" s="53"/>
      <c r="C50" s="48"/>
      <c r="D50" s="55"/>
      <c r="E50" s="48"/>
      <c r="F50" s="55"/>
      <c r="G50" s="50"/>
      <c r="H50" s="49"/>
      <c r="I50" s="51" t="str">
        <f aca="false">IF(Islem_2026_10[[#This Row],[Tutar]]="","",IF(Islem_2026_10[[#This Row],[Para birimi]]="USD",Islem_2026_10[[#This Row],[Tutar]]*$T$3,Islem_2026_10[[#This Row],[Tutar]]))</f>
        <v/>
      </c>
      <c r="J50" s="52" t="str">
        <f aca="false">IF(Islem_2026_10[[#This Row],[DOP]]="","",Islem_2026_10[[#This Row],[DOP]]/$T$3)</f>
        <v/>
      </c>
      <c r="K50" s="56"/>
    </row>
    <row r="51" s="1" customFormat="true" ht="20" hidden="false" customHeight="false" outlineLevel="0" collapsed="false">
      <c r="B51" s="53"/>
      <c r="C51" s="48"/>
      <c r="D51" s="55"/>
      <c r="E51" s="48"/>
      <c r="F51" s="55"/>
      <c r="G51" s="50"/>
      <c r="H51" s="49"/>
      <c r="I51" s="51" t="str">
        <f aca="false">IF(Islem_2026_10[[#This Row],[Tutar]]="","",IF(Islem_2026_10[[#This Row],[Para birimi]]="USD",Islem_2026_10[[#This Row],[Tutar]]*$T$3,Islem_2026_10[[#This Row],[Tutar]]))</f>
        <v/>
      </c>
      <c r="J51" s="52" t="str">
        <f aca="false">IF(Islem_2026_10[[#This Row],[DOP]]="","",Islem_2026_10[[#This Row],[DOP]]/$T$3)</f>
        <v/>
      </c>
      <c r="K51" s="56"/>
    </row>
    <row r="52" s="1" customFormat="true" ht="20" hidden="false" customHeight="false" outlineLevel="0" collapsed="false">
      <c r="B52" s="53"/>
      <c r="C52" s="48"/>
      <c r="D52" s="55"/>
      <c r="E52" s="48"/>
      <c r="F52" s="55"/>
      <c r="G52" s="50"/>
      <c r="H52" s="49"/>
      <c r="I52" s="51" t="str">
        <f aca="false">IF(Islem_2026_10[[#This Row],[Tutar]]="","",IF(Islem_2026_10[[#This Row],[Para birimi]]="USD",Islem_2026_10[[#This Row],[Tutar]]*$T$3,Islem_2026_10[[#This Row],[Tutar]]))</f>
        <v/>
      </c>
      <c r="J52" s="52" t="str">
        <f aca="false">IF(Islem_2026_10[[#This Row],[DOP]]="","",Islem_2026_10[[#This Row],[DOP]]/$T$3)</f>
        <v/>
      </c>
      <c r="K52" s="56"/>
    </row>
    <row r="53" s="1" customFormat="true" ht="20" hidden="false" customHeight="false" outlineLevel="0" collapsed="false">
      <c r="B53" s="53"/>
      <c r="C53" s="48"/>
      <c r="D53" s="55"/>
      <c r="E53" s="48"/>
      <c r="F53" s="55"/>
      <c r="G53" s="50"/>
      <c r="H53" s="49"/>
      <c r="I53" s="51" t="str">
        <f aca="false">IF(Islem_2026_10[[#This Row],[Tutar]]="","",IF(Islem_2026_10[[#This Row],[Para birimi]]="USD",Islem_2026_10[[#This Row],[Tutar]]*$T$3,Islem_2026_10[[#This Row],[Tutar]]))</f>
        <v/>
      </c>
      <c r="J53" s="52" t="str">
        <f aca="false">IF(Islem_2026_10[[#This Row],[DOP]]="","",Islem_2026_10[[#This Row],[DOP]]/$T$3)</f>
        <v/>
      </c>
      <c r="K53" s="56"/>
    </row>
    <row r="54" s="1" customFormat="true" ht="20" hidden="false" customHeight="false" outlineLevel="0" collapsed="false">
      <c r="B54" s="53"/>
      <c r="C54" s="48"/>
      <c r="D54" s="55"/>
      <c r="E54" s="48"/>
      <c r="F54" s="55"/>
      <c r="G54" s="50"/>
      <c r="H54" s="49"/>
      <c r="I54" s="51" t="str">
        <f aca="false">IF(Islem_2026_10[[#This Row],[Tutar]]="","",IF(Islem_2026_10[[#This Row],[Para birimi]]="USD",Islem_2026_10[[#This Row],[Tutar]]*$T$3,Islem_2026_10[[#This Row],[Tutar]]))</f>
        <v/>
      </c>
      <c r="J54" s="52" t="str">
        <f aca="false">IF(Islem_2026_10[[#This Row],[DOP]]="","",Islem_2026_10[[#This Row],[DOP]]/$T$3)</f>
        <v/>
      </c>
      <c r="K54" s="56"/>
    </row>
    <row r="55" s="1" customFormat="true" ht="20" hidden="false" customHeight="false" outlineLevel="0" collapsed="false">
      <c r="B55" s="53"/>
      <c r="C55" s="48"/>
      <c r="D55" s="55"/>
      <c r="E55" s="48"/>
      <c r="F55" s="55"/>
      <c r="G55" s="50"/>
      <c r="H55" s="49"/>
      <c r="I55" s="51" t="str">
        <f aca="false">IF(Islem_2026_10[[#This Row],[Tutar]]="","",IF(Islem_2026_10[[#This Row],[Para birimi]]="USD",Islem_2026_10[[#This Row],[Tutar]]*$T$3,Islem_2026_10[[#This Row],[Tutar]]))</f>
        <v/>
      </c>
      <c r="J55" s="52" t="str">
        <f aca="false">IF(Islem_2026_10[[#This Row],[DOP]]="","",Islem_2026_10[[#This Row],[DOP]]/$T$3)</f>
        <v/>
      </c>
      <c r="K55" s="56"/>
    </row>
    <row r="56" s="1" customFormat="true" ht="20" hidden="false" customHeight="false" outlineLevel="0" collapsed="false">
      <c r="B56" s="53"/>
      <c r="C56" s="48"/>
      <c r="D56" s="55"/>
      <c r="E56" s="48"/>
      <c r="F56" s="55"/>
      <c r="G56" s="50"/>
      <c r="H56" s="49"/>
      <c r="I56" s="51" t="str">
        <f aca="false">IF(Islem_2026_10[[#This Row],[Tutar]]="","",IF(Islem_2026_10[[#This Row],[Para birimi]]="USD",Islem_2026_10[[#This Row],[Tutar]]*$T$3,Islem_2026_10[[#This Row],[Tutar]]))</f>
        <v/>
      </c>
      <c r="J56" s="52" t="str">
        <f aca="false">IF(Islem_2026_10[[#This Row],[DOP]]="","",Islem_2026_10[[#This Row],[DOP]]/$T$3)</f>
        <v/>
      </c>
      <c r="K56" s="56"/>
    </row>
    <row r="57" s="1" customFormat="true" ht="20" hidden="false" customHeight="false" outlineLevel="0" collapsed="false">
      <c r="B57" s="53"/>
      <c r="C57" s="48"/>
      <c r="D57" s="55"/>
      <c r="E57" s="48"/>
      <c r="F57" s="55"/>
      <c r="G57" s="50"/>
      <c r="H57" s="49"/>
      <c r="I57" s="51" t="str">
        <f aca="false">IF(Islem_2026_10[[#This Row],[Tutar]]="","",IF(Islem_2026_10[[#This Row],[Para birimi]]="USD",Islem_2026_10[[#This Row],[Tutar]]*$T$3,Islem_2026_10[[#This Row],[Tutar]]))</f>
        <v/>
      </c>
      <c r="J57" s="52" t="str">
        <f aca="false">IF(Islem_2026_10[[#This Row],[DOP]]="","",Islem_2026_10[[#This Row],[DOP]]/$T$3)</f>
        <v/>
      </c>
      <c r="K57" s="56"/>
    </row>
  </sheetData>
  <mergeCells count="38">
    <mergeCell ref="N1:Q1"/>
    <mergeCell ref="B5:D5"/>
    <mergeCell ref="B6:D6"/>
    <mergeCell ref="G6:H6"/>
    <mergeCell ref="O6:Q6"/>
    <mergeCell ref="G8:H8"/>
    <mergeCell ref="O8:Q8"/>
    <mergeCell ref="G9:H9"/>
    <mergeCell ref="O9:Q9"/>
    <mergeCell ref="G10:H10"/>
    <mergeCell ref="O10:Q10"/>
    <mergeCell ref="C11:D11"/>
    <mergeCell ref="O11:Q11"/>
    <mergeCell ref="H14:K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O28:Q28"/>
    <mergeCell ref="H37:K37"/>
  </mergeCells>
  <conditionalFormatting sqref="C11">
    <cfRule type="cellIs" priority="2" operator="lessThan" aboveAverage="0" equalAverage="0" bottom="0" percent="0" rank="0" text="" dxfId="7">
      <formula>0</formula>
    </cfRule>
  </conditionalFormatting>
  <conditionalFormatting sqref="O9:O10">
    <cfRule type="cellIs" priority="3" operator="lessThan" aboveAverage="0" equalAverage="0" bottom="0" percent="0" rank="0" text="" dxfId="7">
      <formula>0</formula>
    </cfRule>
  </conditionalFormatting>
  <conditionalFormatting sqref="B16:B30">
    <cfRule type="cellIs" priority="4" operator="equal" aboveAverage="0" equalAverage="0" bottom="0" percent="0" rank="0" text="" dxfId="8">
      <formula>"Evet"</formula>
    </cfRule>
    <cfRule type="cellIs" priority="5" operator="equal" aboveAverage="0" equalAverage="0" bottom="0" percent="0" rank="0" text="" dxfId="9">
      <formula>"Hayır"</formula>
    </cfRule>
  </conditionalFormatting>
  <conditionalFormatting sqref="O15:P15">
    <cfRule type="dataBar" priority="6">
      <dataBar showValue="0" minLength="10" maxLength="90">
        <cfvo type="num" val="0"/>
        <cfvo type="formula" val="MAX($Q$15:$Q$25)"/>
        <color rgb="FF2B3A33"/>
      </dataBar>
      <extLst>
        <ext xmlns:x14="http://schemas.microsoft.com/office/spreadsheetml/2009/9/main" uri="{B025F937-C7B1-47D3-B67F-A62EFF666E3E}">
          <x14:id>{5C74C255-5DC2-4EBA-9570-BE3EEA2CA2C5}</x14:id>
        </ext>
      </extLst>
    </cfRule>
  </conditionalFormatting>
  <conditionalFormatting sqref="O16:P25">
    <cfRule type="dataBar" priority="7">
      <dataBar showValue="0" minLength="10" maxLength="90">
        <cfvo type="num" val="0"/>
        <cfvo type="formula" val="MAX($Q$15:$Q$25)"/>
        <color rgb="FF2F7D52"/>
      </dataBar>
      <extLst>
        <ext xmlns:x14="http://schemas.microsoft.com/office/spreadsheetml/2009/9/main" uri="{B025F937-C7B1-47D3-B67F-A62EFF666E3E}">
          <x14:id>{918668AF-68A8-4C7D-91C6-66D3D03575E6}</x14:id>
        </ext>
      </extLst>
    </cfRule>
  </conditionalFormatting>
  <dataValidations count="6">
    <dataValidation allowBlank="true" errorStyle="stop" operator="between" showDropDown="false" showErrorMessage="true" showInputMessage="false" sqref="B16:B30" type="list">
      <formula1>"Evet,Hayır"</formula1>
      <formula2>0</formula2>
    </dataValidation>
    <dataValidation allowBlank="true" errorStyle="stop" operator="between" showDropDown="false" showErrorMessage="true" showInputMessage="false" sqref="F16:F30" type="list">
      <formula1>"DOP,USD"</formula1>
      <formula2>0</formula2>
    </dataValidation>
    <dataValidation allowBlank="true" errorStyle="stop" operator="between" showDropDown="false" showErrorMessage="true" showInputMessage="false" sqref="N30:N34" type="list">
      <formula1>"Remitly,PayPal"</formula1>
      <formula2>0</formula2>
    </dataValidation>
    <dataValidation allowBlank="true" errorStyle="stop" operator="between" showDropDown="false" showErrorMessage="true" showInputMessage="false" sqref="E39:E1057" type="list">
      <formula1>Config!$E$4:$E$13</formula1>
      <formula2>0</formula2>
    </dataValidation>
    <dataValidation allowBlank="true" errorStyle="stop" operator="between" showDropDown="false" showErrorMessage="true" showInputMessage="false" sqref="F39:F1057" type="list">
      <formula1>Config!$F$4:$F$6</formula1>
      <formula2>0</formula2>
    </dataValidation>
    <dataValidation allowBlank="true" errorStyle="stop" operator="between" showDropDown="false" showErrorMessage="true" showInputMessage="false" sqref="H39:H1057" type="list">
      <formula1>"DOP,USD"</formula1>
      <formula2>0</formula2>
    </dataValidation>
  </dataValidation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74C255-5DC2-4EBA-9570-BE3EEA2CA2C5}">
            <x14:dataBar minLength="10" maxLength="90" axisPosition="none" gradient="true">
              <x14:cfvo type="num">
                <xm:f>0</xm:f>
              </x14:cfvo>
              <x14:cfvo type="formula">
                <xm:f>MAX($Q$15:$Q$25)</xm:f>
              </x14:cfvo>
              <x14:negativeFillColor rgb="FF2B3A33"/>
              <x14:axisColor rgb="FF000000"/>
            </x14:dataBar>
          </x14:cfRule>
          <xm:sqref>O15:P15</xm:sqref>
        </x14:conditionalFormatting>
        <x14:conditionalFormatting xmlns:xm="http://schemas.microsoft.com/office/excel/2006/main">
          <x14:cfRule type="dataBar" id="{918668AF-68A8-4C7D-91C6-66D3D03575E6}">
            <x14:dataBar minLength="10" maxLength="90" axisPosition="none" gradient="true">
              <x14:cfvo type="num">
                <xm:f>0</xm:f>
              </x14:cfvo>
              <x14:cfvo type="formula">
                <xm:f>MAX($Q$15:$Q$25)</xm:f>
              </x14:cfvo>
              <x14:negativeFillColor rgb="FF2F7D52"/>
              <x14:axisColor rgb="FF000000"/>
            </x14:dataBar>
          </x14:cfRule>
          <xm:sqref>O16:P25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1F1C"/>
    <pageSetUpPr fitToPage="false"/>
  </sheetPr>
  <dimension ref="A1:R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20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7"/>
    <col collapsed="false" customWidth="true" hidden="false" outlineLevel="0" max="3" min="3" style="1" width="13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8" min="8" style="1" width="3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1" min="11" style="1" width="19"/>
    <col collapsed="false" customWidth="true" hidden="false" outlineLevel="0" max="12" min="12" style="1" width="11"/>
    <col collapsed="false" customWidth="true" hidden="false" outlineLevel="0" max="13" min="13" style="1" width="8"/>
    <col collapsed="false" customWidth="true" hidden="false" outlineLevel="0" max="14" min="14" style="1" width="11"/>
    <col collapsed="false" customWidth="true" hidden="false" outlineLevel="0" max="15" min="15" style="1" width="12"/>
    <col collapsed="false" customWidth="true" hidden="false" outlineLevel="0" max="17" min="16" style="1" width="2"/>
    <col collapsed="false" customWidth="true" hidden="true" outlineLevel="0" max="18" min="18" style="1" width="14"/>
    <col collapsed="false" customWidth="true" hidden="false" outlineLevel="0" max="60" min="19" style="1" width="9"/>
  </cols>
  <sheetData>
    <row r="1" s="1" customFormat="true" ht="26" hidden="false" customHeight="true" outlineLevel="0" collapsed="false">
      <c r="A1" s="2"/>
      <c r="B1" s="3" t="s">
        <v>0</v>
      </c>
      <c r="C1" s="2"/>
      <c r="D1" s="4" t="s">
        <v>103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="1" customFormat="true" ht="8" hidden="false" customHeight="true" outlineLevel="0" collapsed="false">
      <c r="R2" s="8" t="s">
        <v>4</v>
      </c>
    </row>
    <row r="3" s="1" customFormat="true" ht="16" hidden="false" customHeight="true" outlineLevel="0" collapsed="false">
      <c r="B3" s="10" t="s">
        <v>104</v>
      </c>
      <c r="C3" s="14" t="s">
        <v>105</v>
      </c>
      <c r="D3" s="14"/>
      <c r="E3" s="14"/>
      <c r="F3" s="14" t="s">
        <v>106</v>
      </c>
      <c r="G3" s="11"/>
      <c r="H3" s="11"/>
      <c r="I3" s="14" t="s">
        <v>107</v>
      </c>
      <c r="J3" s="11"/>
      <c r="K3" s="14" t="s">
        <v>108</v>
      </c>
      <c r="L3" s="11"/>
      <c r="M3" s="11"/>
      <c r="N3" s="14" t="s">
        <v>109</v>
      </c>
      <c r="O3" s="12"/>
      <c r="R3" s="9" t="n">
        <f aca="true">IFERROR(INDIRECT("'"&amp;Config!$C$5&amp;"'!T3"),Config!$C$4)</f>
        <v>58.76</v>
      </c>
    </row>
    <row r="4" s="1" customFormat="true" ht="24" hidden="false" customHeight="true" outlineLevel="0" collapsed="false">
      <c r="B4" s="57" t="str">
        <f aca="false">Config!$C$5</f>
        <v>Ekim 2026</v>
      </c>
      <c r="C4" s="58" t="n">
        <f aca="true">IFERROR(INDIRECT("'"&amp;Config!$C$5&amp;"'!B5"),"")</f>
        <v>340243.2</v>
      </c>
      <c r="D4" s="58"/>
      <c r="E4" s="58"/>
      <c r="F4" s="59" t="n">
        <f aca="true">IFERROR(INDIRECT("'"&amp;Config!$C$5&amp;"'!O6"),"")</f>
        <v>70000</v>
      </c>
      <c r="G4" s="59"/>
      <c r="H4" s="59"/>
      <c r="I4" s="59" t="n">
        <f aca="true">IFERROR(INDIRECT("'"&amp;Config!$C$5&amp;"'!T8"),"")</f>
        <v>49149.71</v>
      </c>
      <c r="J4" s="59"/>
      <c r="K4" s="60" t="n">
        <f aca="true">IFERROR(INDIRECT("'"&amp;Config!$C$5&amp;"'!O9"),"")</f>
        <v>20850.29</v>
      </c>
      <c r="L4" s="60"/>
      <c r="M4" s="60"/>
      <c r="N4" s="61" t="n">
        <f aca="true">IFERROR(INDIRECT("'"&amp;Config!$C$5&amp;"'!T3"),Config!$C$4)</f>
        <v>58.76</v>
      </c>
      <c r="O4" s="61"/>
      <c r="R4" s="9" t="n">
        <f aca="false">J12*((YEAR(N12)-YEAR(L12))*12+MONTH(N12)-MONTH(L12)+1)</f>
        <v>45000</v>
      </c>
    </row>
    <row r="5" s="1" customFormat="true" ht="10" hidden="false" customHeight="true" outlineLevel="0" collapsed="false">
      <c r="R5" s="9" t="n">
        <f aca="false">SUMIFS(Katkilar[USD],Katkilar[Hedef],"Trip to Turkey")</f>
        <v>142.554458815521</v>
      </c>
    </row>
    <row r="6" s="1" customFormat="true" ht="24" hidden="false" customHeight="true" outlineLevel="0" collapsed="false">
      <c r="B6" s="41" t="s">
        <v>110</v>
      </c>
      <c r="C6" s="11"/>
      <c r="D6" s="12"/>
      <c r="E6" s="41" t="s">
        <v>111</v>
      </c>
      <c r="F6" s="11"/>
      <c r="G6" s="12"/>
      <c r="I6" s="41" t="s">
        <v>112</v>
      </c>
      <c r="J6" s="11"/>
      <c r="K6" s="11"/>
      <c r="L6" s="42" t="str">
        <f aca="false">FIXED(J12,0)&amp;" USD / ay"</f>
        <v>3,000 USD / ay</v>
      </c>
      <c r="M6" s="42"/>
      <c r="N6" s="42"/>
      <c r="O6" s="42"/>
      <c r="R6" s="9" t="n">
        <f aca="false">MAX(1,(YEAR(N12)-YEAR(TODAY()))*12+MONTH(N12)-MONTH(TODAY())+1-IF(COUNTIFS(Katkilar[Hedef],"Trip to Turkey",Katkilar[Ay],Config!$C$5)&gt;0,1,0))</f>
        <v>12</v>
      </c>
    </row>
    <row r="7" s="1" customFormat="true" ht="16" hidden="false" customHeight="true" outlineLevel="0" collapsed="false">
      <c r="B7" s="62" t="s">
        <v>113</v>
      </c>
      <c r="C7" s="17"/>
      <c r="D7" s="18"/>
      <c r="E7" s="62" t="s">
        <v>113</v>
      </c>
      <c r="F7" s="17"/>
      <c r="G7" s="18"/>
      <c r="I7" s="63" t="str">
        <f aca="false">"Kalan "&amp;$R$6&amp;" katkı · hedef için ayda "&amp;FIXED($R$7,0)&amp;" USD"</f>
        <v>Kalan 12 katkı · hedef için ayda 3,738 USD</v>
      </c>
      <c r="J7" s="63"/>
      <c r="K7" s="63"/>
      <c r="L7" s="63"/>
      <c r="M7" s="63"/>
      <c r="N7" s="63"/>
      <c r="O7" s="63"/>
      <c r="R7" s="9" t="n">
        <f aca="false">MAX(0,R4-R5)/R6</f>
        <v>3738.12046176537</v>
      </c>
    </row>
    <row r="8" s="1" customFormat="true" ht="28" hidden="false" customHeight="true" outlineLevel="0" collapsed="false">
      <c r="B8" s="64" t="n">
        <f aca="false">SUMIFS(Katkilar[USD],Katkilar[Hedef],"Emergency fund")</f>
        <v>143.571477195371</v>
      </c>
      <c r="C8" s="64"/>
      <c r="D8" s="64"/>
      <c r="E8" s="64" t="n">
        <f aca="false">SUMIFS(Katkilar[USD],Katkilar[Hedef],"Fondo de emergencia")</f>
        <v>144.588495575221</v>
      </c>
      <c r="F8" s="64"/>
      <c r="G8" s="64"/>
      <c r="I8" s="65" t="n">
        <f aca="false">$R$5</f>
        <v>142.554458815521</v>
      </c>
      <c r="J8" s="65"/>
      <c r="K8" s="65"/>
      <c r="L8" s="66" t="n">
        <f aca="false">$R$5*$R$3</f>
        <v>8376.5</v>
      </c>
      <c r="M8" s="66"/>
      <c r="N8" s="66"/>
      <c r="O8" s="66"/>
      <c r="R8" s="9" t="n">
        <f aca="false">IF(R4=0,0,R5/R4)</f>
        <v>0.00316787686256713</v>
      </c>
    </row>
    <row r="9" s="1" customFormat="true" ht="16" hidden="false" customHeight="true" outlineLevel="0" collapsed="false">
      <c r="B9" s="67" t="n">
        <f aca="false">B8*$R$3</f>
        <v>8436.26</v>
      </c>
      <c r="C9" s="67"/>
      <c r="D9" s="67"/>
      <c r="E9" s="67" t="n">
        <f aca="false">E8*$R$3</f>
        <v>8496.02</v>
      </c>
      <c r="F9" s="67"/>
      <c r="G9" s="67"/>
      <c r="I9" s="16"/>
      <c r="J9" s="17"/>
      <c r="K9" s="17"/>
      <c r="L9" s="17"/>
      <c r="M9" s="17"/>
      <c r="N9" s="17"/>
      <c r="O9" s="18"/>
    </row>
    <row r="10" s="1" customFormat="true" ht="14" hidden="false" customHeight="true" outlineLevel="0" collapsed="false">
      <c r="B10" s="16"/>
      <c r="C10" s="17"/>
      <c r="D10" s="18"/>
      <c r="E10" s="16"/>
      <c r="F10" s="17"/>
      <c r="G10" s="18"/>
      <c r="I10" s="68" t="n">
        <f aca="false">$R$8</f>
        <v>0.00316787686256713</v>
      </c>
      <c r="J10" s="68"/>
      <c r="K10" s="68"/>
      <c r="L10" s="68"/>
      <c r="M10" s="68"/>
      <c r="N10" s="68"/>
      <c r="O10" s="68"/>
    </row>
    <row r="11" s="1" customFormat="true" ht="20" hidden="false" customHeight="true" outlineLevel="0" collapsed="false">
      <c r="B11" s="63" t="str">
        <f aca="false">COUNTIFS(Katkilar[Hedef],"Emergency fund")&amp;" katkı kaydedildi"</f>
        <v>2 katkı kaydedildi</v>
      </c>
      <c r="C11" s="63"/>
      <c r="D11" s="63"/>
      <c r="E11" s="63" t="str">
        <f aca="false">COUNTIFS(Katkilar[Hedef],"Fondo de emergencia")&amp;" katkı kaydedildi"</f>
        <v>2 katkı kaydedildi</v>
      </c>
      <c r="F11" s="63"/>
      <c r="G11" s="63"/>
      <c r="I11" s="69" t="str">
        <f aca="false">"%"&amp;FIXED(100*$R$8,0)&amp;" / "&amp;FIXED($R$4,0)&amp;" USD"</f>
        <v>%0 / 45,000 USD</v>
      </c>
      <c r="J11" s="69"/>
      <c r="K11" s="69"/>
      <c r="L11" s="70" t="str">
        <f aca="false">"Hedef: "&amp;PROPER(CHOOSE(MONTH(N12),"Ocak","Şubat","Mart","Nisan","Mayıs","Haziran","Temmuz","Ağustos","Eylül","Ekim","Kasım","Aralık"))&amp;" "&amp;YEAR(N12)</f>
        <v>Hedef: Ekim 2027</v>
      </c>
      <c r="M11" s="70"/>
      <c r="N11" s="70"/>
      <c r="O11" s="70"/>
    </row>
    <row r="12" s="1" customFormat="true" ht="24" hidden="false" customHeight="true" outlineLevel="0" collapsed="false">
      <c r="B12" s="38"/>
      <c r="C12" s="39"/>
      <c r="D12" s="40"/>
      <c r="E12" s="38"/>
      <c r="F12" s="39"/>
      <c r="G12" s="40"/>
      <c r="I12" s="71" t="s">
        <v>114</v>
      </c>
      <c r="J12" s="72" t="n">
        <v>3000</v>
      </c>
      <c r="K12" s="73" t="s">
        <v>115</v>
      </c>
      <c r="L12" s="74" t="n">
        <v>46235</v>
      </c>
      <c r="M12" s="73" t="s">
        <v>116</v>
      </c>
      <c r="N12" s="75" t="n">
        <v>46661</v>
      </c>
      <c r="O12" s="75"/>
      <c r="R12" s="9" t="n">
        <f aca="false">J20*((YEAR(N20)-YEAR(L20))*12+MONTH(N20)-MONTH(L20)+1)</f>
        <v>2703</v>
      </c>
    </row>
    <row r="13" s="1" customFormat="true" ht="10" hidden="false" customHeight="true" outlineLevel="0" collapsed="false">
      <c r="R13" s="9" t="n">
        <f aca="false">SUMIFS(Katkilar[USD],Katkilar[Hedef],"Car")</f>
        <v>146.622532334922</v>
      </c>
    </row>
    <row r="14" s="1" customFormat="true" ht="24" hidden="false" customHeight="true" outlineLevel="0" collapsed="false">
      <c r="B14" s="41" t="s">
        <v>117</v>
      </c>
      <c r="C14" s="11"/>
      <c r="D14" s="12"/>
      <c r="I14" s="41" t="s">
        <v>118</v>
      </c>
      <c r="J14" s="11"/>
      <c r="K14" s="11"/>
      <c r="L14" s="42" t="str">
        <f aca="false">FIXED(J20,0)&amp;" USD / ay"</f>
        <v>451 USD / ay</v>
      </c>
      <c r="M14" s="42"/>
      <c r="N14" s="42"/>
      <c r="O14" s="42"/>
      <c r="R14" s="9" t="n">
        <f aca="false">MAX(1,(YEAR(N20)-YEAR(TODAY()))*12+MONTH(N20)-MONTH(TODAY())+1-IF(COUNTIFS(Katkilar[Hedef],"Car",Katkilar[Ay],Config!$C$5)&gt;0,1,0))</f>
        <v>1</v>
      </c>
    </row>
    <row r="15" s="1" customFormat="true" ht="16" hidden="false" customHeight="true" outlineLevel="0" collapsed="false">
      <c r="B15" s="62" t="s">
        <v>113</v>
      </c>
      <c r="C15" s="17"/>
      <c r="D15" s="18"/>
      <c r="I15" s="63" t="str">
        <f aca="false">"Kalan "&amp;$R$14&amp;" katkı · hedef için ayda "&amp;FIXED($R$15,0)&amp;" USD"</f>
        <v>Kalan 1 katkı · hedef için ayda 2,556 USD</v>
      </c>
      <c r="J15" s="63"/>
      <c r="K15" s="63"/>
      <c r="L15" s="63"/>
      <c r="M15" s="63"/>
      <c r="N15" s="63"/>
      <c r="O15" s="63"/>
      <c r="R15" s="9" t="n">
        <f aca="false">MAX(0,R12-R13)/R14</f>
        <v>2556.37746766508</v>
      </c>
    </row>
    <row r="16" s="1" customFormat="true" ht="28" hidden="false" customHeight="true" outlineLevel="0" collapsed="false">
      <c r="B16" s="64" t="n">
        <f aca="false">SUMIFS(Katkilar[USD],Katkilar[Hedef],"Gifts")</f>
        <v>145.605513955071</v>
      </c>
      <c r="C16" s="64"/>
      <c r="D16" s="64"/>
      <c r="I16" s="65" t="n">
        <f aca="false">$R$13</f>
        <v>146.622532334922</v>
      </c>
      <c r="J16" s="65"/>
      <c r="K16" s="65"/>
      <c r="L16" s="66" t="n">
        <f aca="false">$R$13*$R$3</f>
        <v>8615.54</v>
      </c>
      <c r="M16" s="66"/>
      <c r="N16" s="66"/>
      <c r="O16" s="66"/>
      <c r="R16" s="9" t="n">
        <f aca="false">IF(R12=0,0,R13/R12)</f>
        <v>0.0542443700832119</v>
      </c>
    </row>
    <row r="17" s="1" customFormat="true" ht="16" hidden="false" customHeight="true" outlineLevel="0" collapsed="false">
      <c r="B17" s="67" t="n">
        <f aca="false">B16*$R$3</f>
        <v>8555.78</v>
      </c>
      <c r="C17" s="67"/>
      <c r="D17" s="67"/>
      <c r="I17" s="16"/>
      <c r="J17" s="17"/>
      <c r="K17" s="17"/>
      <c r="L17" s="17"/>
      <c r="M17" s="17"/>
      <c r="N17" s="17"/>
      <c r="O17" s="18"/>
    </row>
    <row r="18" s="1" customFormat="true" ht="14" hidden="false" customHeight="true" outlineLevel="0" collapsed="false">
      <c r="B18" s="16"/>
      <c r="C18" s="17"/>
      <c r="D18" s="18"/>
      <c r="I18" s="68" t="n">
        <f aca="false">$R$16</f>
        <v>0.0542443700832119</v>
      </c>
      <c r="J18" s="68"/>
      <c r="K18" s="68"/>
      <c r="L18" s="68"/>
      <c r="M18" s="68"/>
      <c r="N18" s="68"/>
      <c r="O18" s="68"/>
    </row>
    <row r="19" s="1" customFormat="true" ht="20" hidden="false" customHeight="true" outlineLevel="0" collapsed="false">
      <c r="B19" s="63" t="str">
        <f aca="false">COUNTIFS(Katkilar[Hedef],"Gifts")&amp;" katkı kaydedildi"</f>
        <v>2 katkı kaydedildi</v>
      </c>
      <c r="C19" s="63"/>
      <c r="D19" s="63"/>
      <c r="I19" s="69" t="str">
        <f aca="false">"%"&amp;FIXED(100*$R$16,0)&amp;" / "&amp;FIXED($R$12,0)&amp;" USD"</f>
        <v>%5 / 2,703 USD</v>
      </c>
      <c r="J19" s="69"/>
      <c r="K19" s="69"/>
      <c r="L19" s="70" t="str">
        <f aca="false">"Hedef: "&amp;PROPER(CHOOSE(MONTH(N20),"Ocak","Şubat","Mart","Nisan","Mayıs","Haziran","Temmuz","Ağustos","Eylül","Ekim","Kasım","Aralık"))&amp;" "&amp;YEAR(N20)</f>
        <v>Hedef: Haziran 2026</v>
      </c>
      <c r="M19" s="70"/>
      <c r="N19" s="70"/>
      <c r="O19" s="70"/>
    </row>
    <row r="20" s="1" customFormat="true" ht="24" hidden="false" customHeight="true" outlineLevel="0" collapsed="false">
      <c r="B20" s="38"/>
      <c r="C20" s="39"/>
      <c r="D20" s="40"/>
      <c r="I20" s="71" t="s">
        <v>114</v>
      </c>
      <c r="J20" s="72" t="n">
        <v>450.5</v>
      </c>
      <c r="K20" s="73" t="s">
        <v>115</v>
      </c>
      <c r="L20" s="74" t="n">
        <v>46023</v>
      </c>
      <c r="M20" s="73" t="s">
        <v>116</v>
      </c>
      <c r="N20" s="75" t="n">
        <v>46174</v>
      </c>
      <c r="O20" s="75"/>
      <c r="R20" s="9" t="n">
        <f aca="false">J28*((YEAR(N28)-YEAR(L28))*12+MONTH(N28)-MONTH(L28)+1)</f>
        <v>73200</v>
      </c>
    </row>
    <row r="21" s="1" customFormat="true" ht="10" hidden="false" customHeight="true" outlineLevel="0" collapsed="false">
      <c r="R21" s="9" t="n">
        <f aca="false">SUMIFS(Katkilar[USD],Katkilar[Hedef],"House")</f>
        <v>147.639550714772</v>
      </c>
    </row>
    <row r="22" s="1" customFormat="true" ht="24" hidden="false" customHeight="true" outlineLevel="0" collapsed="false">
      <c r="B22" s="41" t="s">
        <v>119</v>
      </c>
      <c r="C22" s="11"/>
      <c r="D22" s="12"/>
      <c r="I22" s="41" t="s">
        <v>120</v>
      </c>
      <c r="J22" s="11"/>
      <c r="K22" s="11"/>
      <c r="L22" s="42" t="str">
        <f aca="false">FIXED(J28,0)&amp;" USD / ay"</f>
        <v>1,200 USD / ay</v>
      </c>
      <c r="M22" s="42"/>
      <c r="N22" s="42"/>
      <c r="O22" s="42"/>
      <c r="R22" s="9" t="n">
        <f aca="false">MAX(1,(YEAR(N28)-YEAR(TODAY()))*12+MONTH(N28)-MONTH(TODAY())+1-IF(COUNTIFS(Katkilar[Hedef],"House",Katkilar[Ay],Config!$C$5)&gt;0,1,0))</f>
        <v>50</v>
      </c>
    </row>
    <row r="23" s="1" customFormat="true" ht="16" hidden="false" customHeight="true" outlineLevel="0" collapsed="false">
      <c r="B23" s="62" t="s">
        <v>113</v>
      </c>
      <c r="C23" s="17"/>
      <c r="D23" s="18"/>
      <c r="I23" s="63" t="str">
        <f aca="false">"Kalan "&amp;$R$22&amp;" katkı · hedef için ayda "&amp;FIXED($R$23,0)&amp;" USD"</f>
        <v>Kalan 50 katkı · hedef için ayda 1,461 USD</v>
      </c>
      <c r="J23" s="63"/>
      <c r="K23" s="63"/>
      <c r="L23" s="63"/>
      <c r="M23" s="63"/>
      <c r="N23" s="63"/>
      <c r="O23" s="63"/>
      <c r="R23" s="9" t="n">
        <f aca="false">MAX(0,R20-R21)/R22</f>
        <v>1461.0472089857</v>
      </c>
    </row>
    <row r="24" s="1" customFormat="true" ht="28" hidden="false" customHeight="true" outlineLevel="0" collapsed="false">
      <c r="B24" s="64" t="n">
        <f aca="false">SUMIFS(Katkilar[USD],Katkilar[Hedef],"Düğün &amp; balayı")</f>
        <v>148.656569094622</v>
      </c>
      <c r="C24" s="64"/>
      <c r="D24" s="64"/>
      <c r="I24" s="65" t="n">
        <f aca="false">$R$21</f>
        <v>147.639550714772</v>
      </c>
      <c r="J24" s="65"/>
      <c r="K24" s="65"/>
      <c r="L24" s="66" t="n">
        <f aca="false">$R$21*$R$3</f>
        <v>8675.3</v>
      </c>
      <c r="M24" s="66"/>
      <c r="N24" s="66"/>
      <c r="O24" s="66"/>
      <c r="R24" s="9" t="n">
        <f aca="false">IF(R20=0,0,R21/R20)</f>
        <v>0.00201693375293404</v>
      </c>
    </row>
    <row r="25" s="1" customFormat="true" ht="16" hidden="false" customHeight="true" outlineLevel="0" collapsed="false">
      <c r="B25" s="67" t="n">
        <f aca="false">B24*$R$3</f>
        <v>8735.06</v>
      </c>
      <c r="C25" s="67"/>
      <c r="D25" s="67"/>
      <c r="I25" s="16"/>
      <c r="J25" s="17"/>
      <c r="K25" s="17"/>
      <c r="L25" s="17"/>
      <c r="M25" s="17"/>
      <c r="N25" s="17"/>
      <c r="O25" s="18"/>
    </row>
    <row r="26" s="1" customFormat="true" ht="14" hidden="false" customHeight="true" outlineLevel="0" collapsed="false">
      <c r="B26" s="16"/>
      <c r="C26" s="17"/>
      <c r="D26" s="18"/>
      <c r="I26" s="68" t="n">
        <f aca="false">$R$24</f>
        <v>0.00201693375293404</v>
      </c>
      <c r="J26" s="68"/>
      <c r="K26" s="68"/>
      <c r="L26" s="68"/>
      <c r="M26" s="68"/>
      <c r="N26" s="68"/>
      <c r="O26" s="68"/>
    </row>
    <row r="27" s="1" customFormat="true" ht="20" hidden="false" customHeight="true" outlineLevel="0" collapsed="false">
      <c r="B27" s="63" t="str">
        <f aca="false">COUNTIFS(Katkilar[Hedef],"Düğün &amp; balayı")&amp;" katkı kaydedildi"</f>
        <v>2 katkı kaydedildi</v>
      </c>
      <c r="C27" s="63"/>
      <c r="D27" s="63"/>
      <c r="I27" s="69" t="str">
        <f aca="false">"%"&amp;FIXED(100*$R$24,0)&amp;" / "&amp;FIXED($R$20,0)&amp;" USD"</f>
        <v>%0 / 73,200 USD</v>
      </c>
      <c r="J27" s="69"/>
      <c r="K27" s="69"/>
      <c r="L27" s="70" t="str">
        <f aca="false">"Hedef: "&amp;PROPER(CHOOSE(MONTH(N28),"Ocak","Şubat","Mart","Nisan","Mayıs","Haziran","Temmuz","Ağustos","Eylül","Ekim","Kasım","Aralık"))&amp;" "&amp;YEAR(N28)</f>
        <v>Hedef: Aralık 2030</v>
      </c>
      <c r="M27" s="70"/>
      <c r="N27" s="70"/>
      <c r="O27" s="70"/>
    </row>
    <row r="28" s="1" customFormat="true" ht="24" hidden="false" customHeight="true" outlineLevel="0" collapsed="false">
      <c r="B28" s="38"/>
      <c r="C28" s="39"/>
      <c r="D28" s="40"/>
      <c r="I28" s="71" t="s">
        <v>114</v>
      </c>
      <c r="J28" s="72" t="n">
        <v>1200</v>
      </c>
      <c r="K28" s="73" t="s">
        <v>115</v>
      </c>
      <c r="L28" s="74" t="n">
        <v>45992</v>
      </c>
      <c r="M28" s="73" t="s">
        <v>116</v>
      </c>
      <c r="N28" s="75" t="n">
        <v>47818</v>
      </c>
      <c r="O28" s="75"/>
      <c r="R28" s="9" t="n">
        <f aca="false">J36*((YEAR(N36)-YEAR(L36))*12+MONTH(N36)-MONTH(L36)+1)</f>
        <v>900</v>
      </c>
    </row>
    <row r="29" s="1" customFormat="true" ht="10" hidden="false" customHeight="true" outlineLevel="0" collapsed="false">
      <c r="R29" s="9" t="n">
        <f aca="false">SUMIFS(Katkilar[USD],Katkilar[Hedef],"Ahorro personal")</f>
        <v>149.673587474472</v>
      </c>
    </row>
    <row r="30" s="1" customFormat="true" ht="24" hidden="false" customHeight="true" outlineLevel="0" collapsed="false">
      <c r="I30" s="41" t="s">
        <v>121</v>
      </c>
      <c r="J30" s="11"/>
      <c r="K30" s="11"/>
      <c r="L30" s="42" t="str">
        <f aca="false">FIXED(J36,0)&amp;" USD / ay"</f>
        <v>75 USD / ay</v>
      </c>
      <c r="M30" s="42"/>
      <c r="N30" s="42"/>
      <c r="O30" s="42"/>
      <c r="R30" s="9" t="n">
        <f aca="false">MAX(1,(YEAR(N36)-YEAR(TODAY()))*12+MONTH(N36)-MONTH(TODAY())+1-IF(COUNTIFS(Katkilar[Hedef],"Ahorro personal",Katkilar[Ay],Config!$C$5)&gt;0,1,0))</f>
        <v>14</v>
      </c>
    </row>
    <row r="31" s="1" customFormat="true" ht="16" hidden="false" customHeight="true" outlineLevel="0" collapsed="false">
      <c r="I31" s="63" t="str">
        <f aca="false">"Kalan "&amp;$R$30&amp;" katkı · hedef için ayda "&amp;FIXED($R$31,0)&amp;" USD"</f>
        <v>Kalan 14 katkı · hedef için ayda 54 USD</v>
      </c>
      <c r="J31" s="63"/>
      <c r="K31" s="63"/>
      <c r="L31" s="63"/>
      <c r="M31" s="63"/>
      <c r="N31" s="63"/>
      <c r="O31" s="63"/>
      <c r="R31" s="9" t="n">
        <f aca="false">MAX(0,R28-R29)/R30</f>
        <v>53.5947437518234</v>
      </c>
    </row>
    <row r="32" s="1" customFormat="true" ht="28" hidden="false" customHeight="true" outlineLevel="0" collapsed="false">
      <c r="I32" s="65" t="n">
        <f aca="false">$R$29</f>
        <v>149.673587474472</v>
      </c>
      <c r="J32" s="65"/>
      <c r="K32" s="65"/>
      <c r="L32" s="66" t="n">
        <f aca="false">$R$29*$R$3</f>
        <v>8794.82</v>
      </c>
      <c r="M32" s="66"/>
      <c r="N32" s="66"/>
      <c r="O32" s="66"/>
      <c r="R32" s="9" t="n">
        <f aca="false">IF(R28=0,0,R29/R28)</f>
        <v>0.166303986082747</v>
      </c>
    </row>
    <row r="33" s="1" customFormat="true" ht="16" hidden="false" customHeight="true" outlineLevel="0" collapsed="false">
      <c r="I33" s="16"/>
      <c r="J33" s="17"/>
      <c r="K33" s="17"/>
      <c r="L33" s="17"/>
      <c r="M33" s="17"/>
      <c r="N33" s="17"/>
      <c r="O33" s="18"/>
    </row>
    <row r="34" s="1" customFormat="true" ht="14" hidden="false" customHeight="true" outlineLevel="0" collapsed="false">
      <c r="I34" s="68" t="n">
        <f aca="false">$R$32</f>
        <v>0.166303986082747</v>
      </c>
      <c r="J34" s="68"/>
      <c r="K34" s="68"/>
      <c r="L34" s="68"/>
      <c r="M34" s="68"/>
      <c r="N34" s="68"/>
      <c r="O34" s="68"/>
    </row>
    <row r="35" s="1" customFormat="true" ht="20" hidden="false" customHeight="true" outlineLevel="0" collapsed="false">
      <c r="I35" s="69" t="str">
        <f aca="false">"%"&amp;FIXED(100*$R$32,0)&amp;" / "&amp;FIXED($R$28,0)&amp;" USD"</f>
        <v>%17 / 900 USD</v>
      </c>
      <c r="J35" s="69"/>
      <c r="K35" s="69"/>
      <c r="L35" s="70" t="str">
        <f aca="false">"Hedef: "&amp;PROPER(CHOOSE(MONTH(N36),"Ocak","Şubat","Mart","Nisan","Mayıs","Haziran","Temmuz","Ağustos","Eylül","Ekim","Kasım","Aralık"))&amp;" "&amp;YEAR(N36)</f>
        <v>Hedef: Aralık 2027</v>
      </c>
      <c r="M35" s="70"/>
      <c r="N35" s="70"/>
      <c r="O35" s="70"/>
    </row>
    <row r="36" s="1" customFormat="true" ht="24" hidden="false" customHeight="true" outlineLevel="0" collapsed="false">
      <c r="I36" s="71" t="s">
        <v>114</v>
      </c>
      <c r="J36" s="72" t="n">
        <v>75</v>
      </c>
      <c r="K36" s="73" t="s">
        <v>115</v>
      </c>
      <c r="L36" s="74" t="n">
        <v>46388</v>
      </c>
      <c r="M36" s="73" t="s">
        <v>116</v>
      </c>
      <c r="N36" s="75" t="n">
        <v>46722</v>
      </c>
      <c r="O36" s="75"/>
    </row>
    <row r="37" s="1" customFormat="true" ht="10" hidden="false" customHeight="true" outlineLevel="0" collapsed="false"/>
    <row r="38" s="1" customFormat="true" ht="26" hidden="false" customHeight="true" outlineLevel="0" collapsed="false">
      <c r="B38" s="41" t="s">
        <v>122</v>
      </c>
      <c r="C38" s="11"/>
      <c r="D38" s="11"/>
      <c r="E38" s="11"/>
      <c r="F38" s="11"/>
      <c r="G38" s="12"/>
      <c r="I38" s="41" t="s">
        <v>123</v>
      </c>
      <c r="J38" s="11"/>
      <c r="K38" s="11"/>
      <c r="L38" s="42" t="str">
        <f aca="false">"Toplam "&amp;FIXED(SUM(Katkilar[USD]),2)&amp;" USD"</f>
        <v>Toplam 1,319.60 USD</v>
      </c>
      <c r="M38" s="42"/>
      <c r="N38" s="42"/>
      <c r="O38" s="42"/>
    </row>
    <row r="39" s="1" customFormat="true" ht="20" hidden="false" customHeight="false" outlineLevel="0" collapsed="false">
      <c r="B39" s="43" t="s">
        <v>124</v>
      </c>
      <c r="C39" s="45" t="s">
        <v>125</v>
      </c>
      <c r="D39" s="45" t="s">
        <v>55</v>
      </c>
      <c r="E39" s="45" t="s">
        <v>126</v>
      </c>
      <c r="F39" s="45" t="s">
        <v>127</v>
      </c>
      <c r="G39" s="45" t="s">
        <v>128</v>
      </c>
      <c r="I39" s="43" t="s">
        <v>53</v>
      </c>
      <c r="J39" s="44" t="s">
        <v>124</v>
      </c>
      <c r="K39" s="44" t="s">
        <v>129</v>
      </c>
      <c r="L39" s="45" t="s">
        <v>27</v>
      </c>
      <c r="M39" s="44" t="s">
        <v>28</v>
      </c>
      <c r="N39" s="45" t="s">
        <v>10</v>
      </c>
      <c r="O39" s="45" t="s">
        <v>14</v>
      </c>
    </row>
    <row r="40" s="1" customFormat="true" ht="20" hidden="false" customHeight="false" outlineLevel="0" collapsed="false">
      <c r="B40" s="76" t="s">
        <v>1</v>
      </c>
      <c r="C40" s="50" t="n">
        <f aca="true">IFERROR(INDIRECT("'"&amp;B40&amp;"'!C10"),"")</f>
        <v>5800</v>
      </c>
      <c r="D40" s="77" t="n">
        <f aca="true">IFERROR(INDIRECT("'"&amp;B40&amp;"'!T3"),"")</f>
        <v>58.1833333333333</v>
      </c>
      <c r="E40" s="50" t="n">
        <f aca="false">IF(C40="","",C40*D40)</f>
        <v>337463.333333333</v>
      </c>
      <c r="F40" s="50" t="n">
        <f aca="false">IF(C40="","",SUMIFS(Katkilar[USD],Katkilar[Ay],B40))</f>
        <v>936</v>
      </c>
      <c r="G40" s="78" t="n">
        <f aca="false">IF(OR(C40="",C40=0),"",F40/C40)</f>
        <v>0.161379310344828</v>
      </c>
      <c r="I40" s="53" t="n">
        <v>46235</v>
      </c>
      <c r="J40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Ağustos 2026</v>
      </c>
      <c r="K40" s="48" t="s">
        <v>112</v>
      </c>
      <c r="L40" s="50" t="n">
        <v>100</v>
      </c>
      <c r="M40" s="49" t="s">
        <v>10</v>
      </c>
      <c r="N40" s="51" t="n">
        <f aca="false">IF(Katkilar[[#This Row],[Tutar]]="","",IF(Katkilar[[#This Row],[Para birimi]]="USD",Katkilar[[#This Row],[Tutar]],Katkilar[[#This Row],[Tutar]]/IFERROR(INDIRECT("'"&amp;Katkilar[[#This Row],[Ay]]&amp;"'!T3"),Config!$C$4)))</f>
        <v>100</v>
      </c>
      <c r="O40" s="52" t="n">
        <f aca="false">IF(Katkilar[[#This Row],[USD]]="","",Katkilar[[#This Row],[USD]]*IFERROR(INDIRECT("'"&amp;Katkilar[[#This Row],[Ay]]&amp;"'!T3"),Config!$C$4))</f>
        <v>5818.33333333333</v>
      </c>
    </row>
    <row r="41" s="1" customFormat="true" ht="20" hidden="false" customHeight="false" outlineLevel="0" collapsed="false">
      <c r="B41" s="76" t="s">
        <v>85</v>
      </c>
      <c r="C41" s="50" t="n">
        <f aca="true">IFERROR(INDIRECT("'"&amp;B41&amp;"'!C10"),"")</f>
        <v>5800</v>
      </c>
      <c r="D41" s="77" t="n">
        <f aca="true">IFERROR(INDIRECT("'"&amp;B41&amp;"'!T3"),"")</f>
        <v>58.574347826087</v>
      </c>
      <c r="E41" s="50" t="n">
        <f aca="false">IF(C41="","",C41*D41)</f>
        <v>339731.217391304</v>
      </c>
      <c r="F41" s="50" t="n">
        <f aca="false">IF(C41="","",SUMIFS(Katkilar[USD],Katkilar[Ay],B41))</f>
        <v>0</v>
      </c>
      <c r="G41" s="78" t="n">
        <f aca="false">IF(OR(C41="",C41=0),"",F41/C41)</f>
        <v>0</v>
      </c>
      <c r="I41" s="53" t="n">
        <v>46236</v>
      </c>
      <c r="J41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Ağustos 2026</v>
      </c>
      <c r="K41" s="48" t="s">
        <v>110</v>
      </c>
      <c r="L41" s="50" t="n">
        <v>101</v>
      </c>
      <c r="M41" s="49" t="s">
        <v>10</v>
      </c>
      <c r="N41" s="51" t="n">
        <f aca="false">IF(Katkilar[[#This Row],[Tutar]]="","",IF(Katkilar[[#This Row],[Para birimi]]="USD",Katkilar[[#This Row],[Tutar]],Katkilar[[#This Row],[Tutar]]/IFERROR(INDIRECT("'"&amp;Katkilar[[#This Row],[Ay]]&amp;"'!T3"),Config!$C$4)))</f>
        <v>101</v>
      </c>
      <c r="O41" s="52" t="n">
        <f aca="false">IF(Katkilar[[#This Row],[USD]]="","",Katkilar[[#This Row],[USD]]*IFERROR(INDIRECT("'"&amp;Katkilar[[#This Row],[Ay]]&amp;"'!T3"),Config!$C$4))</f>
        <v>5876.51666666667</v>
      </c>
    </row>
    <row r="42" s="1" customFormat="true" ht="20" hidden="false" customHeight="false" outlineLevel="0" collapsed="false">
      <c r="B42" s="76" t="s">
        <v>98</v>
      </c>
      <c r="C42" s="50" t="n">
        <f aca="true">IFERROR(INDIRECT("'"&amp;B42&amp;"'!C10"),"")</f>
        <v>5800</v>
      </c>
      <c r="D42" s="77" t="n">
        <f aca="true">IFERROR(INDIRECT("'"&amp;B42&amp;"'!T3"),"")</f>
        <v>58.76</v>
      </c>
      <c r="E42" s="50" t="n">
        <f aca="false">IF(C42="","",C42*D42)</f>
        <v>340808</v>
      </c>
      <c r="F42" s="50" t="n">
        <f aca="false">IF(C42="","",SUMIFS(Katkilar[USD],Katkilar[Ay],B42))</f>
        <v>383.602791014295</v>
      </c>
      <c r="G42" s="78" t="n">
        <f aca="false">IF(OR(C42="",C42=0),"",F42/C42)</f>
        <v>0.0661384122438441</v>
      </c>
      <c r="I42" s="53" t="n">
        <v>46237</v>
      </c>
      <c r="J42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Ağustos 2026</v>
      </c>
      <c r="K42" s="48" t="s">
        <v>111</v>
      </c>
      <c r="L42" s="50" t="n">
        <v>102</v>
      </c>
      <c r="M42" s="49" t="s">
        <v>10</v>
      </c>
      <c r="N42" s="51" t="n">
        <f aca="false">IF(Katkilar[[#This Row],[Tutar]]="","",IF(Katkilar[[#This Row],[Para birimi]]="USD",Katkilar[[#This Row],[Tutar]],Katkilar[[#This Row],[Tutar]]/IFERROR(INDIRECT("'"&amp;Katkilar[[#This Row],[Ay]]&amp;"'!T3"),Config!$C$4)))</f>
        <v>102</v>
      </c>
      <c r="O42" s="52" t="n">
        <f aca="false">IF(Katkilar[[#This Row],[USD]]="","",Katkilar[[#This Row],[USD]]*IFERROR(INDIRECT("'"&amp;Katkilar[[#This Row],[Ay]]&amp;"'!T3"),Config!$C$4))</f>
        <v>5934.7</v>
      </c>
    </row>
    <row r="43" s="1" customFormat="true" ht="20" hidden="false" customHeight="false" outlineLevel="0" collapsed="false">
      <c r="B43" s="76" t="s">
        <v>130</v>
      </c>
      <c r="C43" s="50" t="e">
        <f aca="true">IFERROR(INDIRECT("'"&amp;B43&amp;"'!C10"),"")</f>
        <v>#REF!</v>
      </c>
      <c r="D43" s="77" t="e">
        <f aca="true">IFERROR(INDIRECT("'"&amp;B43&amp;"'!T3"),"")</f>
        <v>#REF!</v>
      </c>
      <c r="E43" s="50" t="e">
        <f aca="false">IF(C43="","",C43*D43)</f>
        <v>#REF!</v>
      </c>
      <c r="F43" s="50" t="e">
        <f aca="false">IF(C43="","",SUMIFS(Katkilar[USD],Katkilar[Ay],B43))</f>
        <v>#REF!</v>
      </c>
      <c r="G43" s="78" t="e">
        <f aca="false">IF(OR(C43="",C43=0),"",F43/C43)</f>
        <v>#REF!</v>
      </c>
      <c r="I43" s="53" t="n">
        <v>46238</v>
      </c>
      <c r="J43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Ağustos 2026</v>
      </c>
      <c r="K43" s="48" t="s">
        <v>117</v>
      </c>
      <c r="L43" s="50" t="n">
        <v>103</v>
      </c>
      <c r="M43" s="49" t="s">
        <v>10</v>
      </c>
      <c r="N43" s="51" t="n">
        <f aca="false">IF(Katkilar[[#This Row],[Tutar]]="","",IF(Katkilar[[#This Row],[Para birimi]]="USD",Katkilar[[#This Row],[Tutar]],Katkilar[[#This Row],[Tutar]]/IFERROR(INDIRECT("'"&amp;Katkilar[[#This Row],[Ay]]&amp;"'!T3"),Config!$C$4)))</f>
        <v>103</v>
      </c>
      <c r="O43" s="52" t="n">
        <f aca="false">IF(Katkilar[[#This Row],[USD]]="","",Katkilar[[#This Row],[USD]]*IFERROR(INDIRECT("'"&amp;Katkilar[[#This Row],[Ay]]&amp;"'!T3"),Config!$C$4))</f>
        <v>5992.88333333333</v>
      </c>
    </row>
    <row r="44" s="1" customFormat="true" ht="20" hidden="false" customHeight="false" outlineLevel="0" collapsed="false">
      <c r="B44" s="76" t="s">
        <v>131</v>
      </c>
      <c r="C44" s="50" t="e">
        <f aca="true">IFERROR(INDIRECT("'"&amp;B44&amp;"'!C10"),"")</f>
        <v>#REF!</v>
      </c>
      <c r="D44" s="77" t="e">
        <f aca="true">IFERROR(INDIRECT("'"&amp;B44&amp;"'!T3"),"")</f>
        <v>#REF!</v>
      </c>
      <c r="E44" s="50" t="e">
        <f aca="false">IF(C44="","",C44*D44)</f>
        <v>#REF!</v>
      </c>
      <c r="F44" s="50" t="e">
        <f aca="false">IF(C44="","",SUMIFS(Katkilar[USD],Katkilar[Ay],B44))</f>
        <v>#REF!</v>
      </c>
      <c r="G44" s="78" t="e">
        <f aca="false">IF(OR(C44="",C44=0),"",F44/C44)</f>
        <v>#REF!</v>
      </c>
      <c r="I44" s="53" t="n">
        <v>46239</v>
      </c>
      <c r="J44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Ağustos 2026</v>
      </c>
      <c r="K44" s="48" t="s">
        <v>118</v>
      </c>
      <c r="L44" s="50" t="n">
        <v>104</v>
      </c>
      <c r="M44" s="49" t="s">
        <v>10</v>
      </c>
      <c r="N44" s="51" t="n">
        <f aca="false">IF(Katkilar[[#This Row],[Tutar]]="","",IF(Katkilar[[#This Row],[Para birimi]]="USD",Katkilar[[#This Row],[Tutar]],Katkilar[[#This Row],[Tutar]]/IFERROR(INDIRECT("'"&amp;Katkilar[[#This Row],[Ay]]&amp;"'!T3"),Config!$C$4)))</f>
        <v>104</v>
      </c>
      <c r="O44" s="52" t="n">
        <f aca="false">IF(Katkilar[[#This Row],[USD]]="","",Katkilar[[#This Row],[USD]]*IFERROR(INDIRECT("'"&amp;Katkilar[[#This Row],[Ay]]&amp;"'!T3"),Config!$C$4))</f>
        <v>6051.06666666667</v>
      </c>
    </row>
    <row r="45" s="1" customFormat="true" ht="20" hidden="false" customHeight="false" outlineLevel="0" collapsed="false">
      <c r="B45" s="76" t="s">
        <v>132</v>
      </c>
      <c r="C45" s="50" t="e">
        <f aca="true">IFERROR(INDIRECT("'"&amp;B45&amp;"'!C10"),"")</f>
        <v>#REF!</v>
      </c>
      <c r="D45" s="77" t="e">
        <f aca="true">IFERROR(INDIRECT("'"&amp;B45&amp;"'!T3"),"")</f>
        <v>#REF!</v>
      </c>
      <c r="E45" s="50" t="e">
        <f aca="false">IF(C45="","",C45*D45)</f>
        <v>#REF!</v>
      </c>
      <c r="F45" s="50" t="e">
        <f aca="false">IF(C45="","",SUMIFS(Katkilar[USD],Katkilar[Ay],B45))</f>
        <v>#REF!</v>
      </c>
      <c r="G45" s="78" t="e">
        <f aca="false">IF(OR(C45="",C45=0),"",F45/C45)</f>
        <v>#REF!</v>
      </c>
      <c r="I45" s="53" t="n">
        <v>46240</v>
      </c>
      <c r="J45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Ağustos 2026</v>
      </c>
      <c r="K45" s="48" t="s">
        <v>120</v>
      </c>
      <c r="L45" s="50" t="n">
        <v>105</v>
      </c>
      <c r="M45" s="49" t="s">
        <v>10</v>
      </c>
      <c r="N45" s="51" t="n">
        <f aca="false">IF(Katkilar[[#This Row],[Tutar]]="","",IF(Katkilar[[#This Row],[Para birimi]]="USD",Katkilar[[#This Row],[Tutar]],Katkilar[[#This Row],[Tutar]]/IFERROR(INDIRECT("'"&amp;Katkilar[[#This Row],[Ay]]&amp;"'!T3"),Config!$C$4)))</f>
        <v>105</v>
      </c>
      <c r="O45" s="52" t="n">
        <f aca="false">IF(Katkilar[[#This Row],[USD]]="","",Katkilar[[#This Row],[USD]]*IFERROR(INDIRECT("'"&amp;Katkilar[[#This Row],[Ay]]&amp;"'!T3"),Config!$C$4))</f>
        <v>6109.25</v>
      </c>
    </row>
    <row r="46" s="1" customFormat="true" ht="20" hidden="false" customHeight="false" outlineLevel="0" collapsed="false">
      <c r="B46" s="76" t="s">
        <v>133</v>
      </c>
      <c r="C46" s="50" t="e">
        <f aca="true">IFERROR(INDIRECT("'"&amp;B46&amp;"'!C10"),"")</f>
        <v>#REF!</v>
      </c>
      <c r="D46" s="77" t="e">
        <f aca="true">IFERROR(INDIRECT("'"&amp;B46&amp;"'!T3"),"")</f>
        <v>#REF!</v>
      </c>
      <c r="E46" s="50" t="e">
        <f aca="false">IF(C46="","",C46*D46)</f>
        <v>#REF!</v>
      </c>
      <c r="F46" s="50" t="e">
        <f aca="false">IF(C46="","",SUMIFS(Katkilar[USD],Katkilar[Ay],B46))</f>
        <v>#REF!</v>
      </c>
      <c r="G46" s="78" t="e">
        <f aca="false">IF(OR(C46="",C46=0),"",F46/C46)</f>
        <v>#REF!</v>
      </c>
      <c r="I46" s="53" t="n">
        <v>46241</v>
      </c>
      <c r="J46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Ağustos 2026</v>
      </c>
      <c r="K46" s="48" t="s">
        <v>119</v>
      </c>
      <c r="L46" s="50" t="n">
        <v>106</v>
      </c>
      <c r="M46" s="49" t="s">
        <v>10</v>
      </c>
      <c r="N46" s="51" t="n">
        <f aca="false">IF(Katkilar[[#This Row],[Tutar]]="","",IF(Katkilar[[#This Row],[Para birimi]]="USD",Katkilar[[#This Row],[Tutar]],Katkilar[[#This Row],[Tutar]]/IFERROR(INDIRECT("'"&amp;Katkilar[[#This Row],[Ay]]&amp;"'!T3"),Config!$C$4)))</f>
        <v>106</v>
      </c>
      <c r="O46" s="52" t="n">
        <f aca="false">IF(Katkilar[[#This Row],[USD]]="","",Katkilar[[#This Row],[USD]]*IFERROR(INDIRECT("'"&amp;Katkilar[[#This Row],[Ay]]&amp;"'!T3"),Config!$C$4))</f>
        <v>6167.43333333333</v>
      </c>
    </row>
    <row r="47" s="1" customFormat="true" ht="20" hidden="false" customHeight="false" outlineLevel="0" collapsed="false">
      <c r="B47" s="76" t="s">
        <v>134</v>
      </c>
      <c r="C47" s="50" t="e">
        <f aca="true">IFERROR(INDIRECT("'"&amp;B47&amp;"'!C10"),"")</f>
        <v>#REF!</v>
      </c>
      <c r="D47" s="77" t="e">
        <f aca="true">IFERROR(INDIRECT("'"&amp;B47&amp;"'!T3"),"")</f>
        <v>#REF!</v>
      </c>
      <c r="E47" s="50" t="e">
        <f aca="false">IF(C47="","",C47*D47)</f>
        <v>#REF!</v>
      </c>
      <c r="F47" s="50" t="e">
        <f aca="false">IF(C47="","",SUMIFS(Katkilar[USD],Katkilar[Ay],B47))</f>
        <v>#REF!</v>
      </c>
      <c r="G47" s="78" t="e">
        <f aca="false">IF(OR(C47="",C47=0),"",F47/C47)</f>
        <v>#REF!</v>
      </c>
      <c r="I47" s="53" t="n">
        <v>46242</v>
      </c>
      <c r="J47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Ağustos 2026</v>
      </c>
      <c r="K47" s="48" t="s">
        <v>121</v>
      </c>
      <c r="L47" s="50" t="n">
        <v>107</v>
      </c>
      <c r="M47" s="49" t="s">
        <v>10</v>
      </c>
      <c r="N47" s="51" t="n">
        <f aca="false">IF(Katkilar[[#This Row],[Tutar]]="","",IF(Katkilar[[#This Row],[Para birimi]]="USD",Katkilar[[#This Row],[Tutar]],Katkilar[[#This Row],[Tutar]]/IFERROR(INDIRECT("'"&amp;Katkilar[[#This Row],[Ay]]&amp;"'!T3"),Config!$C$4)))</f>
        <v>107</v>
      </c>
      <c r="O47" s="52" t="n">
        <f aca="false">IF(Katkilar[[#This Row],[USD]]="","",Katkilar[[#This Row],[USD]]*IFERROR(INDIRECT("'"&amp;Katkilar[[#This Row],[Ay]]&amp;"'!T3"),Config!$C$4))</f>
        <v>6225.61666666667</v>
      </c>
    </row>
    <row r="48" s="1" customFormat="true" ht="20" hidden="false" customHeight="false" outlineLevel="0" collapsed="false">
      <c r="B48" s="76" t="s">
        <v>135</v>
      </c>
      <c r="C48" s="50" t="e">
        <f aca="true">IFERROR(INDIRECT("'"&amp;B48&amp;"'!C10"),"")</f>
        <v>#REF!</v>
      </c>
      <c r="D48" s="77" t="e">
        <f aca="true">IFERROR(INDIRECT("'"&amp;B48&amp;"'!T3"),"")</f>
        <v>#REF!</v>
      </c>
      <c r="E48" s="50" t="e">
        <f aca="false">IF(C48="","",C48*D48)</f>
        <v>#REF!</v>
      </c>
      <c r="F48" s="50" t="e">
        <f aca="false">IF(C48="","",SUMIFS(Katkilar[USD],Katkilar[Ay],B48))</f>
        <v>#REF!</v>
      </c>
      <c r="G48" s="78" t="e">
        <f aca="false">IF(OR(C48="",C48=0),"",F48/C48)</f>
        <v>#REF!</v>
      </c>
      <c r="I48" s="53" t="n">
        <v>46243</v>
      </c>
      <c r="J48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Ağustos 2026</v>
      </c>
      <c r="K48" s="48" t="s">
        <v>136</v>
      </c>
      <c r="L48" s="50" t="n">
        <v>108</v>
      </c>
      <c r="M48" s="49" t="s">
        <v>10</v>
      </c>
      <c r="N48" s="51" t="n">
        <f aca="false">IF(Katkilar[[#This Row],[Tutar]]="","",IF(Katkilar[[#This Row],[Para birimi]]="USD",Katkilar[[#This Row],[Tutar]],Katkilar[[#This Row],[Tutar]]/IFERROR(INDIRECT("'"&amp;Katkilar[[#This Row],[Ay]]&amp;"'!T3"),Config!$C$4)))</f>
        <v>108</v>
      </c>
      <c r="O48" s="52" t="n">
        <f aca="false">IF(Katkilar[[#This Row],[USD]]="","",Katkilar[[#This Row],[USD]]*IFERROR(INDIRECT("'"&amp;Katkilar[[#This Row],[Ay]]&amp;"'!T3"),Config!$C$4))</f>
        <v>6283.8</v>
      </c>
    </row>
    <row r="49" s="1" customFormat="true" ht="20" hidden="false" customHeight="false" outlineLevel="0" collapsed="false">
      <c r="B49" s="76" t="s">
        <v>137</v>
      </c>
      <c r="C49" s="50" t="e">
        <f aca="true">IFERROR(INDIRECT("'"&amp;B49&amp;"'!C10"),"")</f>
        <v>#REF!</v>
      </c>
      <c r="D49" s="77" t="e">
        <f aca="true">IFERROR(INDIRECT("'"&amp;B49&amp;"'!T3"),"")</f>
        <v>#REF!</v>
      </c>
      <c r="E49" s="50" t="e">
        <f aca="false">IF(C49="","",C49*D49)</f>
        <v>#REF!</v>
      </c>
      <c r="F49" s="50" t="e">
        <f aca="false">IF(C49="","",SUMIFS(Katkilar[USD],Katkilar[Ay],B49))</f>
        <v>#REF!</v>
      </c>
      <c r="G49" s="78" t="e">
        <f aca="false">IF(OR(C49="",C49=0),"",F49/C49)</f>
        <v>#REF!</v>
      </c>
      <c r="I49" s="53" t="n">
        <v>46315</v>
      </c>
      <c r="J49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Ekim 2026</v>
      </c>
      <c r="K49" s="48" t="s">
        <v>136</v>
      </c>
      <c r="L49" s="50" t="n">
        <v>2508.5</v>
      </c>
      <c r="M49" s="49" t="s">
        <v>14</v>
      </c>
      <c r="N49" s="51" t="n">
        <f aca="false">IF(Katkilar[[#This Row],[Tutar]]="","",IF(Katkilar[[#This Row],[Para birimi]]="USD",Katkilar[[#This Row],[Tutar]],Katkilar[[#This Row],[Tutar]]/IFERROR(INDIRECT("'"&amp;Katkilar[[#This Row],[Ay]]&amp;"'!T3"),Config!$C$4)))</f>
        <v>42.6906058543227</v>
      </c>
      <c r="O49" s="52" t="n">
        <f aca="false">IF(Katkilar[[#This Row],[USD]]="","",Katkilar[[#This Row],[USD]]*IFERROR(INDIRECT("'"&amp;Katkilar[[#This Row],[Ay]]&amp;"'!T3"),Config!$C$4))</f>
        <v>2508.5</v>
      </c>
    </row>
    <row r="50" s="1" customFormat="true" ht="20" hidden="false" customHeight="false" outlineLevel="0" collapsed="false">
      <c r="B50" s="76" t="s">
        <v>138</v>
      </c>
      <c r="C50" s="50" t="e">
        <f aca="true">IFERROR(INDIRECT("'"&amp;B50&amp;"'!C10"),"")</f>
        <v>#REF!</v>
      </c>
      <c r="D50" s="77" t="e">
        <f aca="true">IFERROR(INDIRECT("'"&amp;B50&amp;"'!T3"),"")</f>
        <v>#REF!</v>
      </c>
      <c r="E50" s="50" t="e">
        <f aca="false">IF(C50="","",C50*D50)</f>
        <v>#REF!</v>
      </c>
      <c r="F50" s="50" t="e">
        <f aca="false">IF(C50="","",SUMIFS(Katkilar[USD],Katkilar[Ay],B50))</f>
        <v>#REF!</v>
      </c>
      <c r="G50" s="78" t="e">
        <f aca="false">IF(OR(C50="",C50=0),"",F50/C50)</f>
        <v>#REF!</v>
      </c>
      <c r="I50" s="53" t="n">
        <v>46316</v>
      </c>
      <c r="J50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Ekim 2026</v>
      </c>
      <c r="K50" s="48" t="s">
        <v>121</v>
      </c>
      <c r="L50" s="50" t="n">
        <v>2507.5</v>
      </c>
      <c r="M50" s="49" t="s">
        <v>14</v>
      </c>
      <c r="N50" s="51" t="n">
        <f aca="false">IF(Katkilar[[#This Row],[Tutar]]="","",IF(Katkilar[[#This Row],[Para birimi]]="USD",Katkilar[[#This Row],[Tutar]],Katkilar[[#This Row],[Tutar]]/IFERROR(INDIRECT("'"&amp;Katkilar[[#This Row],[Ay]]&amp;"'!T3"),Config!$C$4)))</f>
        <v>42.6735874744724</v>
      </c>
      <c r="O50" s="52" t="n">
        <f aca="false">IF(Katkilar[[#This Row],[USD]]="","",Katkilar[[#This Row],[USD]]*IFERROR(INDIRECT("'"&amp;Katkilar[[#This Row],[Ay]]&amp;"'!T3"),Config!$C$4))</f>
        <v>2507.5</v>
      </c>
    </row>
    <row r="51" s="1" customFormat="true" ht="20" hidden="false" customHeight="false" outlineLevel="0" collapsed="false">
      <c r="B51" s="76" t="s">
        <v>139</v>
      </c>
      <c r="C51" s="50" t="e">
        <f aca="true">IFERROR(INDIRECT("'"&amp;B51&amp;"'!C10"),"")</f>
        <v>#REF!</v>
      </c>
      <c r="D51" s="77" t="e">
        <f aca="true">IFERROR(INDIRECT("'"&amp;B51&amp;"'!T3"),"")</f>
        <v>#REF!</v>
      </c>
      <c r="E51" s="50" t="e">
        <f aca="false">IF(C51="","",C51*D51)</f>
        <v>#REF!</v>
      </c>
      <c r="F51" s="50" t="e">
        <f aca="false">IF(C51="","",SUMIFS(Katkilar[USD],Katkilar[Ay],B51))</f>
        <v>#REF!</v>
      </c>
      <c r="G51" s="78" t="e">
        <f aca="false">IF(OR(C51="",C51=0),"",F51/C51)</f>
        <v>#REF!</v>
      </c>
      <c r="I51" s="53" t="n">
        <v>46317</v>
      </c>
      <c r="J51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Ekim 2026</v>
      </c>
      <c r="K51" s="48" t="s">
        <v>119</v>
      </c>
      <c r="L51" s="50" t="n">
        <v>2506.5</v>
      </c>
      <c r="M51" s="49" t="s">
        <v>14</v>
      </c>
      <c r="N51" s="51" t="n">
        <f aca="false">IF(Katkilar[[#This Row],[Tutar]]="","",IF(Katkilar[[#This Row],[Para birimi]]="USD",Katkilar[[#This Row],[Tutar]],Katkilar[[#This Row],[Tutar]]/IFERROR(INDIRECT("'"&amp;Katkilar[[#This Row],[Ay]]&amp;"'!T3"),Config!$C$4)))</f>
        <v>42.6565690946222</v>
      </c>
      <c r="O51" s="52" t="n">
        <f aca="false">IF(Katkilar[[#This Row],[USD]]="","",Katkilar[[#This Row],[USD]]*IFERROR(INDIRECT("'"&amp;Katkilar[[#This Row],[Ay]]&amp;"'!T3"),Config!$C$4))</f>
        <v>2506.5</v>
      </c>
    </row>
    <row r="52" s="1" customFormat="true" ht="20" hidden="false" customHeight="false" outlineLevel="0" collapsed="false">
      <c r="B52" s="76" t="s">
        <v>140</v>
      </c>
      <c r="C52" s="50" t="e">
        <f aca="true">IFERROR(INDIRECT("'"&amp;B52&amp;"'!C10"),"")</f>
        <v>#REF!</v>
      </c>
      <c r="D52" s="77" t="e">
        <f aca="true">IFERROR(INDIRECT("'"&amp;B52&amp;"'!T3"),"")</f>
        <v>#REF!</v>
      </c>
      <c r="E52" s="50" t="e">
        <f aca="false">IF(C52="","",C52*D52)</f>
        <v>#REF!</v>
      </c>
      <c r="F52" s="50" t="e">
        <f aca="false">IF(C52="","",SUMIFS(Katkilar[USD],Katkilar[Ay],B52))</f>
        <v>#REF!</v>
      </c>
      <c r="G52" s="78" t="e">
        <f aca="false">IF(OR(C52="",C52=0),"",F52/C52)</f>
        <v>#REF!</v>
      </c>
      <c r="I52" s="53" t="n">
        <v>46318</v>
      </c>
      <c r="J52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Ekim 2026</v>
      </c>
      <c r="K52" s="48" t="s">
        <v>120</v>
      </c>
      <c r="L52" s="50" t="n">
        <v>2505.5</v>
      </c>
      <c r="M52" s="49" t="s">
        <v>14</v>
      </c>
      <c r="N52" s="51" t="n">
        <f aca="false">IF(Katkilar[[#This Row],[Tutar]]="","",IF(Katkilar[[#This Row],[Para birimi]]="USD",Katkilar[[#This Row],[Tutar]],Katkilar[[#This Row],[Tutar]]/IFERROR(INDIRECT("'"&amp;Katkilar[[#This Row],[Ay]]&amp;"'!T3"),Config!$C$4)))</f>
        <v>42.639550714772</v>
      </c>
      <c r="O52" s="52" t="n">
        <f aca="false">IF(Katkilar[[#This Row],[USD]]="","",Katkilar[[#This Row],[USD]]*IFERROR(INDIRECT("'"&amp;Katkilar[[#This Row],[Ay]]&amp;"'!T3"),Config!$C$4))</f>
        <v>2505.5</v>
      </c>
    </row>
    <row r="53" s="1" customFormat="true" ht="20" hidden="false" customHeight="false" outlineLevel="0" collapsed="false">
      <c r="B53" s="76" t="s">
        <v>141</v>
      </c>
      <c r="C53" s="50" t="e">
        <f aca="true">IFERROR(INDIRECT("'"&amp;B53&amp;"'!C10"),"")</f>
        <v>#REF!</v>
      </c>
      <c r="D53" s="77" t="e">
        <f aca="true">IFERROR(INDIRECT("'"&amp;B53&amp;"'!T3"),"")</f>
        <v>#REF!</v>
      </c>
      <c r="E53" s="50" t="e">
        <f aca="false">IF(C53="","",C53*D53)</f>
        <v>#REF!</v>
      </c>
      <c r="F53" s="50" t="e">
        <f aca="false">IF(C53="","",SUMIFS(Katkilar[USD],Katkilar[Ay],B53))</f>
        <v>#REF!</v>
      </c>
      <c r="G53" s="78" t="e">
        <f aca="false">IF(OR(C53="",C53=0),"",F53/C53)</f>
        <v>#REF!</v>
      </c>
      <c r="I53" s="53" t="n">
        <v>46319</v>
      </c>
      <c r="J53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Ekim 2026</v>
      </c>
      <c r="K53" s="48" t="s">
        <v>118</v>
      </c>
      <c r="L53" s="50" t="n">
        <v>2504.5</v>
      </c>
      <c r="M53" s="49" t="s">
        <v>14</v>
      </c>
      <c r="N53" s="51" t="n">
        <f aca="false">IF(Katkilar[[#This Row],[Tutar]]="","",IF(Katkilar[[#This Row],[Para birimi]]="USD",Katkilar[[#This Row],[Tutar]],Katkilar[[#This Row],[Tutar]]/IFERROR(INDIRECT("'"&amp;Katkilar[[#This Row],[Ay]]&amp;"'!T3"),Config!$C$4)))</f>
        <v>42.6225323349217</v>
      </c>
      <c r="O53" s="52" t="n">
        <f aca="false">IF(Katkilar[[#This Row],[USD]]="","",Katkilar[[#This Row],[USD]]*IFERROR(INDIRECT("'"&amp;Katkilar[[#This Row],[Ay]]&amp;"'!T3"),Config!$C$4))</f>
        <v>2504.5</v>
      </c>
    </row>
    <row r="54" s="1" customFormat="true" ht="20" hidden="false" customHeight="false" outlineLevel="0" collapsed="false">
      <c r="B54" s="76" t="s">
        <v>142</v>
      </c>
      <c r="C54" s="50" t="e">
        <f aca="true">IFERROR(INDIRECT("'"&amp;B54&amp;"'!C10"),"")</f>
        <v>#REF!</v>
      </c>
      <c r="D54" s="77" t="e">
        <f aca="true">IFERROR(INDIRECT("'"&amp;B54&amp;"'!T3"),"")</f>
        <v>#REF!</v>
      </c>
      <c r="E54" s="50" t="e">
        <f aca="false">IF(C54="","",C54*D54)</f>
        <v>#REF!</v>
      </c>
      <c r="F54" s="50" t="e">
        <f aca="false">IF(C54="","",SUMIFS(Katkilar[USD],Katkilar[Ay],B54))</f>
        <v>#REF!</v>
      </c>
      <c r="G54" s="78" t="e">
        <f aca="false">IF(OR(C54="",C54=0),"",F54/C54)</f>
        <v>#REF!</v>
      </c>
      <c r="I54" s="53" t="n">
        <v>46320</v>
      </c>
      <c r="J54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Ekim 2026</v>
      </c>
      <c r="K54" s="48" t="s">
        <v>117</v>
      </c>
      <c r="L54" s="50" t="n">
        <v>2503.5</v>
      </c>
      <c r="M54" s="49" t="s">
        <v>14</v>
      </c>
      <c r="N54" s="51" t="n">
        <f aca="false">IF(Katkilar[[#This Row],[Tutar]]="","",IF(Katkilar[[#This Row],[Para birimi]]="USD",Katkilar[[#This Row],[Tutar]],Katkilar[[#This Row],[Tutar]]/IFERROR(INDIRECT("'"&amp;Katkilar[[#This Row],[Ay]]&amp;"'!T3"),Config!$C$4)))</f>
        <v>42.6055139550715</v>
      </c>
      <c r="O54" s="52" t="n">
        <f aca="false">IF(Katkilar[[#This Row],[USD]]="","",Katkilar[[#This Row],[USD]]*IFERROR(INDIRECT("'"&amp;Katkilar[[#This Row],[Ay]]&amp;"'!T3"),Config!$C$4))</f>
        <v>2503.5</v>
      </c>
    </row>
    <row r="55" s="1" customFormat="true" ht="6" hidden="false" customHeight="true" outlineLevel="0" collapsed="false">
      <c r="B55" s="38"/>
      <c r="C55" s="39"/>
      <c r="D55" s="39"/>
      <c r="E55" s="39"/>
      <c r="F55" s="39"/>
      <c r="G55" s="40"/>
      <c r="I55" s="53" t="n">
        <v>46321</v>
      </c>
      <c r="J55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Ekim 2026</v>
      </c>
      <c r="K55" s="48" t="s">
        <v>111</v>
      </c>
      <c r="L55" s="50" t="n">
        <v>2502.5</v>
      </c>
      <c r="M55" s="49" t="s">
        <v>14</v>
      </c>
      <c r="N55" s="51" t="n">
        <f aca="false">IF(Katkilar[[#This Row],[Tutar]]="","",IF(Katkilar[[#This Row],[Para birimi]]="USD",Katkilar[[#This Row],[Tutar]],Katkilar[[#This Row],[Tutar]]/IFERROR(INDIRECT("'"&amp;Katkilar[[#This Row],[Ay]]&amp;"'!T3"),Config!$C$4)))</f>
        <v>42.5884955752212</v>
      </c>
      <c r="O55" s="52" t="n">
        <f aca="false">IF(Katkilar[[#This Row],[USD]]="","",Katkilar[[#This Row],[USD]]*IFERROR(INDIRECT("'"&amp;Katkilar[[#This Row],[Ay]]&amp;"'!T3"),Config!$C$4))</f>
        <v>2502.5</v>
      </c>
    </row>
    <row r="56" s="1" customFormat="true" ht="20" hidden="false" customHeight="false" outlineLevel="0" collapsed="false">
      <c r="I56" s="53" t="n">
        <v>46322</v>
      </c>
      <c r="J56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Ekim 2026</v>
      </c>
      <c r="K56" s="48" t="s">
        <v>110</v>
      </c>
      <c r="L56" s="50" t="n">
        <v>2501.5</v>
      </c>
      <c r="M56" s="49" t="s">
        <v>14</v>
      </c>
      <c r="N56" s="51" t="n">
        <f aca="false">IF(Katkilar[[#This Row],[Tutar]]="","",IF(Katkilar[[#This Row],[Para birimi]]="USD",Katkilar[[#This Row],[Tutar]],Katkilar[[#This Row],[Tutar]]/IFERROR(INDIRECT("'"&amp;Katkilar[[#This Row],[Ay]]&amp;"'!T3"),Config!$C$4)))</f>
        <v>42.571477195371</v>
      </c>
      <c r="O56" s="52" t="n">
        <f aca="false">IF(Katkilar[[#This Row],[USD]]="","",Katkilar[[#This Row],[USD]]*IFERROR(INDIRECT("'"&amp;Katkilar[[#This Row],[Ay]]&amp;"'!T3"),Config!$C$4))</f>
        <v>2501.5</v>
      </c>
    </row>
    <row r="57" s="1" customFormat="true" ht="20" hidden="false" customHeight="false" outlineLevel="0" collapsed="false">
      <c r="I57" s="53" t="n">
        <v>46323</v>
      </c>
      <c r="J57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>Ekim 2026</v>
      </c>
      <c r="K57" s="48" t="s">
        <v>112</v>
      </c>
      <c r="L57" s="50" t="n">
        <v>2500.5</v>
      </c>
      <c r="M57" s="49" t="s">
        <v>14</v>
      </c>
      <c r="N57" s="51" t="n">
        <f aca="false">IF(Katkilar[[#This Row],[Tutar]]="","",IF(Katkilar[[#This Row],[Para birimi]]="USD",Katkilar[[#This Row],[Tutar]],Katkilar[[#This Row],[Tutar]]/IFERROR(INDIRECT("'"&amp;Katkilar[[#This Row],[Ay]]&amp;"'!T3"),Config!$C$4)))</f>
        <v>42.5544588155208</v>
      </c>
      <c r="O57" s="52" t="n">
        <f aca="false">IF(Katkilar[[#This Row],[USD]]="","",Katkilar[[#This Row],[USD]]*IFERROR(INDIRECT("'"&amp;Katkilar[[#This Row],[Ay]]&amp;"'!T3"),Config!$C$4))</f>
        <v>2500.5</v>
      </c>
    </row>
    <row r="58" s="1" customFormat="true" ht="20" hidden="false" customHeight="false" outlineLevel="0" collapsed="false">
      <c r="I58" s="53"/>
      <c r="J58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/>
      </c>
      <c r="K58" s="48"/>
      <c r="L58" s="50"/>
      <c r="M58" s="49"/>
      <c r="N58" s="51" t="str">
        <f aca="false">IF(Katkilar[[#This Row],[Tutar]]="","",IF(Katkilar[[#This Row],[Para birimi]]="USD",Katkilar[[#This Row],[Tutar]],Katkilar[[#This Row],[Tutar]]/IFERROR(INDIRECT("'"&amp;Katkilar[[#This Row],[Ay]]&amp;"'!T3"),Config!$C$4)))</f>
        <v/>
      </c>
      <c r="O58" s="52" t="str">
        <f aca="false">IF(Katkilar[[#This Row],[USD]]="","",Katkilar[[#This Row],[USD]]*IFERROR(INDIRECT("'"&amp;Katkilar[[#This Row],[Ay]]&amp;"'!T3"),Config!$C$4))</f>
        <v/>
      </c>
    </row>
    <row r="59" s="1" customFormat="true" ht="20" hidden="false" customHeight="false" outlineLevel="0" collapsed="false">
      <c r="I59" s="53"/>
      <c r="J59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/>
      </c>
      <c r="K59" s="48"/>
      <c r="L59" s="50"/>
      <c r="M59" s="49"/>
      <c r="N59" s="51" t="str">
        <f aca="false">IF(Katkilar[[#This Row],[Tutar]]="","",IF(Katkilar[[#This Row],[Para birimi]]="USD",Katkilar[[#This Row],[Tutar]],Katkilar[[#This Row],[Tutar]]/IFERROR(INDIRECT("'"&amp;Katkilar[[#This Row],[Ay]]&amp;"'!T3"),Config!$C$4)))</f>
        <v/>
      </c>
      <c r="O59" s="52" t="str">
        <f aca="false">IF(Katkilar[[#This Row],[USD]]="","",Katkilar[[#This Row],[USD]]*IFERROR(INDIRECT("'"&amp;Katkilar[[#This Row],[Ay]]&amp;"'!T3"),Config!$C$4))</f>
        <v/>
      </c>
    </row>
    <row r="60" s="1" customFormat="true" ht="20" hidden="false" customHeight="false" outlineLevel="0" collapsed="false">
      <c r="I60" s="53"/>
      <c r="J60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/>
      </c>
      <c r="K60" s="48"/>
      <c r="L60" s="50"/>
      <c r="M60" s="49"/>
      <c r="N60" s="51" t="str">
        <f aca="false">IF(Katkilar[[#This Row],[Tutar]]="","",IF(Katkilar[[#This Row],[Para birimi]]="USD",Katkilar[[#This Row],[Tutar]],Katkilar[[#This Row],[Tutar]]/IFERROR(INDIRECT("'"&amp;Katkilar[[#This Row],[Ay]]&amp;"'!T3"),Config!$C$4)))</f>
        <v/>
      </c>
      <c r="O60" s="52" t="str">
        <f aca="false">IF(Katkilar[[#This Row],[USD]]="","",Katkilar[[#This Row],[USD]]*IFERROR(INDIRECT("'"&amp;Katkilar[[#This Row],[Ay]]&amp;"'!T3"),Config!$C$4))</f>
        <v/>
      </c>
    </row>
    <row r="61" s="1" customFormat="true" ht="20" hidden="false" customHeight="false" outlineLevel="0" collapsed="false">
      <c r="I61" s="53"/>
      <c r="J61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/>
      </c>
      <c r="K61" s="48"/>
      <c r="L61" s="50"/>
      <c r="M61" s="49"/>
      <c r="N61" s="51" t="str">
        <f aca="false">IF(Katkilar[[#This Row],[Tutar]]="","",IF(Katkilar[[#This Row],[Para birimi]]="USD",Katkilar[[#This Row],[Tutar]],Katkilar[[#This Row],[Tutar]]/IFERROR(INDIRECT("'"&amp;Katkilar[[#This Row],[Ay]]&amp;"'!T3"),Config!$C$4)))</f>
        <v/>
      </c>
      <c r="O61" s="52" t="str">
        <f aca="false">IF(Katkilar[[#This Row],[USD]]="","",Katkilar[[#This Row],[USD]]*IFERROR(INDIRECT("'"&amp;Katkilar[[#This Row],[Ay]]&amp;"'!T3"),Config!$C$4))</f>
        <v/>
      </c>
    </row>
    <row r="62" s="1" customFormat="true" ht="20" hidden="false" customHeight="false" outlineLevel="0" collapsed="false">
      <c r="I62" s="53"/>
      <c r="J62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/>
      </c>
      <c r="K62" s="48"/>
      <c r="L62" s="50"/>
      <c r="M62" s="49"/>
      <c r="N62" s="51" t="str">
        <f aca="false">IF(Katkilar[[#This Row],[Tutar]]="","",IF(Katkilar[[#This Row],[Para birimi]]="USD",Katkilar[[#This Row],[Tutar]],Katkilar[[#This Row],[Tutar]]/IFERROR(INDIRECT("'"&amp;Katkilar[[#This Row],[Ay]]&amp;"'!T3"),Config!$C$4)))</f>
        <v/>
      </c>
      <c r="O62" s="52" t="str">
        <f aca="false">IF(Katkilar[[#This Row],[USD]]="","",Katkilar[[#This Row],[USD]]*IFERROR(INDIRECT("'"&amp;Katkilar[[#This Row],[Ay]]&amp;"'!T3"),Config!$C$4))</f>
        <v/>
      </c>
    </row>
    <row r="63" s="1" customFormat="true" ht="20" hidden="false" customHeight="false" outlineLevel="0" collapsed="false">
      <c r="I63" s="53"/>
      <c r="J63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/>
      </c>
      <c r="K63" s="48"/>
      <c r="L63" s="50"/>
      <c r="M63" s="49"/>
      <c r="N63" s="51" t="str">
        <f aca="false">IF(Katkilar[[#This Row],[Tutar]]="","",IF(Katkilar[[#This Row],[Para birimi]]="USD",Katkilar[[#This Row],[Tutar]],Katkilar[[#This Row],[Tutar]]/IFERROR(INDIRECT("'"&amp;Katkilar[[#This Row],[Ay]]&amp;"'!T3"),Config!$C$4)))</f>
        <v/>
      </c>
      <c r="O63" s="52" t="str">
        <f aca="false">IF(Katkilar[[#This Row],[USD]]="","",Katkilar[[#This Row],[USD]]*IFERROR(INDIRECT("'"&amp;Katkilar[[#This Row],[Ay]]&amp;"'!T3"),Config!$C$4))</f>
        <v/>
      </c>
    </row>
    <row r="64" s="1" customFormat="true" ht="20" hidden="false" customHeight="false" outlineLevel="0" collapsed="false">
      <c r="I64" s="53"/>
      <c r="J64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/>
      </c>
      <c r="K64" s="48"/>
      <c r="L64" s="50"/>
      <c r="M64" s="49"/>
      <c r="N64" s="51" t="str">
        <f aca="false">IF(Katkilar[[#This Row],[Tutar]]="","",IF(Katkilar[[#This Row],[Para birimi]]="USD",Katkilar[[#This Row],[Tutar]],Katkilar[[#This Row],[Tutar]]/IFERROR(INDIRECT("'"&amp;Katkilar[[#This Row],[Ay]]&amp;"'!T3"),Config!$C$4)))</f>
        <v/>
      </c>
      <c r="O64" s="52" t="str">
        <f aca="false">IF(Katkilar[[#This Row],[USD]]="","",Katkilar[[#This Row],[USD]]*IFERROR(INDIRECT("'"&amp;Katkilar[[#This Row],[Ay]]&amp;"'!T3"),Config!$C$4))</f>
        <v/>
      </c>
    </row>
    <row r="65" s="1" customFormat="true" ht="20" hidden="false" customHeight="false" outlineLevel="0" collapsed="false">
      <c r="I65" s="53"/>
      <c r="J65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/>
      </c>
      <c r="K65" s="48"/>
      <c r="L65" s="50"/>
      <c r="M65" s="49"/>
      <c r="N65" s="51" t="str">
        <f aca="false">IF(Katkilar[[#This Row],[Tutar]]="","",IF(Katkilar[[#This Row],[Para birimi]]="USD",Katkilar[[#This Row],[Tutar]],Katkilar[[#This Row],[Tutar]]/IFERROR(INDIRECT("'"&amp;Katkilar[[#This Row],[Ay]]&amp;"'!T3"),Config!$C$4)))</f>
        <v/>
      </c>
      <c r="O65" s="52" t="str">
        <f aca="false">IF(Katkilar[[#This Row],[USD]]="","",Katkilar[[#This Row],[USD]]*IFERROR(INDIRECT("'"&amp;Katkilar[[#This Row],[Ay]]&amp;"'!T3"),Config!$C$4))</f>
        <v/>
      </c>
    </row>
    <row r="66" s="1" customFormat="true" ht="20" hidden="false" customHeight="false" outlineLevel="0" collapsed="false">
      <c r="I66" s="53"/>
      <c r="J66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/>
      </c>
      <c r="K66" s="48"/>
      <c r="L66" s="50"/>
      <c r="M66" s="49"/>
      <c r="N66" s="51" t="str">
        <f aca="false">IF(Katkilar[[#This Row],[Tutar]]="","",IF(Katkilar[[#This Row],[Para birimi]]="USD",Katkilar[[#This Row],[Tutar]],Katkilar[[#This Row],[Tutar]]/IFERROR(INDIRECT("'"&amp;Katkilar[[#This Row],[Ay]]&amp;"'!T3"),Config!$C$4)))</f>
        <v/>
      </c>
      <c r="O66" s="52" t="str">
        <f aca="false">IF(Katkilar[[#This Row],[USD]]="","",Katkilar[[#This Row],[USD]]*IFERROR(INDIRECT("'"&amp;Katkilar[[#This Row],[Ay]]&amp;"'!T3"),Config!$C$4))</f>
        <v/>
      </c>
    </row>
    <row r="67" s="1" customFormat="true" ht="20" hidden="false" customHeight="false" outlineLevel="0" collapsed="false">
      <c r="I67" s="53"/>
      <c r="J67" s="56" t="str">
        <f aca="false">IF(Katkilar[[#This Row],[Tarih]]="","",CHOOSE(MONTH(Katkilar[[#This Row],[Tarih]]),"Ocak","Şubat","Mart","Nisan","Mayıs","Haziran","Temmuz","Ağustos","Eylül","Ekim","Kasım","Aralık")&amp;" "&amp;YEAR(Katkilar[[#This Row],[Tarih]]))</f>
        <v/>
      </c>
      <c r="K67" s="48"/>
      <c r="L67" s="50"/>
      <c r="M67" s="49"/>
      <c r="N67" s="51" t="str">
        <f aca="false">IF(Katkilar[[#This Row],[Tutar]]="","",IF(Katkilar[[#This Row],[Para birimi]]="USD",Katkilar[[#This Row],[Tutar]],Katkilar[[#This Row],[Tutar]]/IFERROR(INDIRECT("'"&amp;Katkilar[[#This Row],[Ay]]&amp;"'!T3"),Config!$C$4)))</f>
        <v/>
      </c>
      <c r="O67" s="52" t="str">
        <f aca="false">IF(Katkilar[[#This Row],[USD]]="","",Katkilar[[#This Row],[USD]]*IFERROR(INDIRECT("'"&amp;Katkilar[[#This Row],[Ay]]&amp;"'!T3"),Config!$C$4))</f>
        <v/>
      </c>
    </row>
  </sheetData>
  <mergeCells count="51">
    <mergeCell ref="C3:E3"/>
    <mergeCell ref="C4:E4"/>
    <mergeCell ref="F4:H4"/>
    <mergeCell ref="I4:J4"/>
    <mergeCell ref="K4:M4"/>
    <mergeCell ref="N4:O4"/>
    <mergeCell ref="L6:O6"/>
    <mergeCell ref="I7:O7"/>
    <mergeCell ref="B8:D8"/>
    <mergeCell ref="E8:G8"/>
    <mergeCell ref="I8:K8"/>
    <mergeCell ref="L8:O8"/>
    <mergeCell ref="B9:D9"/>
    <mergeCell ref="E9:G9"/>
    <mergeCell ref="I10:O10"/>
    <mergeCell ref="B11:D11"/>
    <mergeCell ref="E11:G11"/>
    <mergeCell ref="I11:K11"/>
    <mergeCell ref="L11:O11"/>
    <mergeCell ref="N12:O12"/>
    <mergeCell ref="L14:O14"/>
    <mergeCell ref="I15:O15"/>
    <mergeCell ref="B16:D16"/>
    <mergeCell ref="I16:K16"/>
    <mergeCell ref="L16:O16"/>
    <mergeCell ref="B17:D17"/>
    <mergeCell ref="I18:O18"/>
    <mergeCell ref="B19:D19"/>
    <mergeCell ref="I19:K19"/>
    <mergeCell ref="L19:O19"/>
    <mergeCell ref="N20:O20"/>
    <mergeCell ref="L22:O22"/>
    <mergeCell ref="I23:O23"/>
    <mergeCell ref="B24:D24"/>
    <mergeCell ref="I24:K24"/>
    <mergeCell ref="L24:O24"/>
    <mergeCell ref="B25:D25"/>
    <mergeCell ref="I26:O26"/>
    <mergeCell ref="B27:D27"/>
    <mergeCell ref="I27:K27"/>
    <mergeCell ref="L27:O27"/>
    <mergeCell ref="N28:O28"/>
    <mergeCell ref="L30:O30"/>
    <mergeCell ref="I31:O31"/>
    <mergeCell ref="I32:K32"/>
    <mergeCell ref="L32:O32"/>
    <mergeCell ref="I34:O34"/>
    <mergeCell ref="I35:K35"/>
    <mergeCell ref="L35:O35"/>
    <mergeCell ref="N36:O36"/>
    <mergeCell ref="L38:O38"/>
  </mergeCells>
  <conditionalFormatting sqref="K4">
    <cfRule type="cellIs" priority="2" operator="lessThan" aboveAverage="0" equalAverage="0" bottom="0" percent="0" rank="0" text="" dxfId="7">
      <formula>0</formula>
    </cfRule>
  </conditionalFormatting>
  <conditionalFormatting sqref="I10:O10">
    <cfRule type="dataBar" priority="3">
      <dataBar showValue="0" minLength="10" maxLength="90">
        <cfvo type="num" val="0"/>
        <cfvo type="num" val="1"/>
        <color rgb="FF2F7D52"/>
      </dataBar>
      <extLst>
        <ext xmlns:x14="http://schemas.microsoft.com/office/spreadsheetml/2009/9/main" uri="{B025F937-C7B1-47D3-B67F-A62EFF666E3E}">
          <x14:id>{24A76E70-815B-411C-A17B-C0C2EBD822F2}</x14:id>
        </ext>
      </extLst>
    </cfRule>
  </conditionalFormatting>
  <conditionalFormatting sqref="I18:O18">
    <cfRule type="dataBar" priority="4">
      <dataBar showValue="0" minLength="10" maxLength="90">
        <cfvo type="num" val="0"/>
        <cfvo type="num" val="1"/>
        <color rgb="FF2F7D52"/>
      </dataBar>
      <extLst>
        <ext xmlns:x14="http://schemas.microsoft.com/office/spreadsheetml/2009/9/main" uri="{B025F937-C7B1-47D3-B67F-A62EFF666E3E}">
          <x14:id>{7C6CB92F-BED2-4C9F-BC70-977BEC13FFF8}</x14:id>
        </ext>
      </extLst>
    </cfRule>
  </conditionalFormatting>
  <conditionalFormatting sqref="I26:O26">
    <cfRule type="dataBar" priority="5">
      <dataBar showValue="0" minLength="10" maxLength="90">
        <cfvo type="num" val="0"/>
        <cfvo type="num" val="1"/>
        <color rgb="FF2F7D52"/>
      </dataBar>
      <extLst>
        <ext xmlns:x14="http://schemas.microsoft.com/office/spreadsheetml/2009/9/main" uri="{B025F937-C7B1-47D3-B67F-A62EFF666E3E}">
          <x14:id>{6E59DAC5-3EC9-47C0-99C3-25891D6249C8}</x14:id>
        </ext>
      </extLst>
    </cfRule>
  </conditionalFormatting>
  <conditionalFormatting sqref="I34:O34">
    <cfRule type="dataBar" priority="6">
      <dataBar showValue="0" minLength="10" maxLength="90">
        <cfvo type="num" val="0"/>
        <cfvo type="num" val="1"/>
        <color rgb="FF2F7D52"/>
      </dataBar>
      <extLst>
        <ext xmlns:x14="http://schemas.microsoft.com/office/spreadsheetml/2009/9/main" uri="{B025F937-C7B1-47D3-B67F-A62EFF666E3E}">
          <x14:id>{3A3D7F80-8B83-4049-98EE-4CA0009D3584}</x14:id>
        </ext>
      </extLst>
    </cfRule>
  </conditionalFormatting>
  <dataValidations count="2">
    <dataValidation allowBlank="true" errorStyle="stop" operator="between" showDropDown="false" showErrorMessage="true" showInputMessage="false" sqref="K40:K1067" type="list">
      <formula1>Config!$G$4:$G$11</formula1>
      <formula2>0</formula2>
    </dataValidation>
    <dataValidation allowBlank="true" errorStyle="stop" operator="between" showDropDown="false" showErrorMessage="true" showInputMessage="false" sqref="M40:M1067" type="list">
      <formula1>"USD,DOP"</formula1>
      <formula2>0</formula2>
    </dataValidation>
  </dataValidation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A76E70-815B-411C-A17B-C0C2EBD822F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F7D52"/>
              <x14:axisColor rgb="FF000000"/>
            </x14:dataBar>
          </x14:cfRule>
          <xm:sqref>I10:O10</xm:sqref>
        </x14:conditionalFormatting>
        <x14:conditionalFormatting xmlns:xm="http://schemas.microsoft.com/office/excel/2006/main">
          <x14:cfRule type="dataBar" id="{7C6CB92F-BED2-4C9F-BC70-977BEC13FFF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F7D52"/>
              <x14:axisColor rgb="FF000000"/>
            </x14:dataBar>
          </x14:cfRule>
          <xm:sqref>I18:O18</xm:sqref>
        </x14:conditionalFormatting>
        <x14:conditionalFormatting xmlns:xm="http://schemas.microsoft.com/office/excel/2006/main">
          <x14:cfRule type="dataBar" id="{6E59DAC5-3EC9-47C0-99C3-25891D6249C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F7D52"/>
              <x14:axisColor rgb="FF000000"/>
            </x14:dataBar>
          </x14:cfRule>
          <xm:sqref>I26:O26</xm:sqref>
        </x14:conditionalFormatting>
        <x14:conditionalFormatting xmlns:xm="http://schemas.microsoft.com/office/excel/2006/main">
          <x14:cfRule type="dataBar" id="{3A3D7F80-8B83-4049-98EE-4CA0009D358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F7D52"/>
              <x14:axisColor rgb="FF000000"/>
            </x14:dataBar>
          </x14:cfRule>
          <xm:sqref>I34:O34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ABA3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20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3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60" min="8" style="1" width="9"/>
  </cols>
  <sheetData>
    <row r="1" s="1" customFormat="true" ht="26" hidden="false" customHeight="true" outlineLevel="0" collapsed="false">
      <c r="A1" s="2"/>
      <c r="B1" s="3" t="s">
        <v>143</v>
      </c>
      <c r="C1" s="2"/>
      <c r="D1" s="2"/>
      <c r="E1" s="2"/>
      <c r="F1" s="2"/>
      <c r="G1" s="2"/>
    </row>
    <row r="3" s="1" customFormat="true" ht="20" hidden="false" customHeight="false" outlineLevel="0" collapsed="false">
      <c r="B3" s="10" t="s">
        <v>144</v>
      </c>
      <c r="C3" s="12"/>
      <c r="E3" s="10" t="s">
        <v>145</v>
      </c>
      <c r="F3" s="14" t="s">
        <v>146</v>
      </c>
      <c r="G3" s="79" t="s">
        <v>147</v>
      </c>
    </row>
    <row r="4" s="1" customFormat="true" ht="20" hidden="false" customHeight="false" outlineLevel="0" collapsed="false">
      <c r="B4" s="16" t="s">
        <v>148</v>
      </c>
      <c r="C4" s="80" t="n">
        <v>58.76</v>
      </c>
      <c r="E4" s="23" t="s">
        <v>32</v>
      </c>
      <c r="F4" s="24" t="s">
        <v>66</v>
      </c>
      <c r="G4" s="81" t="s">
        <v>112</v>
      </c>
    </row>
    <row r="5" s="1" customFormat="true" ht="20" hidden="false" customHeight="false" outlineLevel="0" collapsed="false">
      <c r="B5" s="16" t="s">
        <v>149</v>
      </c>
      <c r="C5" s="82" t="s">
        <v>98</v>
      </c>
      <c r="E5" s="23" t="s">
        <v>34</v>
      </c>
      <c r="F5" s="24" t="s">
        <v>80</v>
      </c>
      <c r="G5" s="81" t="s">
        <v>110</v>
      </c>
    </row>
    <row r="6" s="1" customFormat="true" ht="20" hidden="false" customHeight="false" outlineLevel="0" collapsed="false">
      <c r="B6" s="38"/>
      <c r="C6" s="40"/>
      <c r="E6" s="23" t="s">
        <v>36</v>
      </c>
      <c r="F6" s="24" t="s">
        <v>74</v>
      </c>
      <c r="G6" s="81" t="s">
        <v>111</v>
      </c>
    </row>
    <row r="7" s="1" customFormat="true" ht="20" hidden="false" customHeight="false" outlineLevel="0" collapsed="false">
      <c r="E7" s="23" t="s">
        <v>38</v>
      </c>
      <c r="F7" s="17"/>
      <c r="G7" s="81" t="s">
        <v>117</v>
      </c>
    </row>
    <row r="8" s="1" customFormat="true" ht="20" hidden="false" customHeight="false" outlineLevel="0" collapsed="false">
      <c r="E8" s="23" t="s">
        <v>40</v>
      </c>
      <c r="F8" s="17"/>
      <c r="G8" s="81" t="s">
        <v>118</v>
      </c>
    </row>
    <row r="9" s="1" customFormat="true" ht="20" hidden="false" customHeight="false" outlineLevel="0" collapsed="false">
      <c r="E9" s="23" t="s">
        <v>42</v>
      </c>
      <c r="F9" s="17"/>
      <c r="G9" s="81" t="s">
        <v>120</v>
      </c>
    </row>
    <row r="10" s="1" customFormat="true" ht="20" hidden="false" customHeight="false" outlineLevel="0" collapsed="false">
      <c r="E10" s="23" t="s">
        <v>44</v>
      </c>
      <c r="F10" s="17"/>
      <c r="G10" s="81" t="s">
        <v>119</v>
      </c>
    </row>
    <row r="11" s="1" customFormat="true" ht="20" hidden="false" customHeight="false" outlineLevel="0" collapsed="false">
      <c r="E11" s="23" t="s">
        <v>46</v>
      </c>
      <c r="F11" s="17"/>
      <c r="G11" s="81" t="s">
        <v>121</v>
      </c>
    </row>
    <row r="12" s="1" customFormat="true" ht="20" hidden="false" customHeight="false" outlineLevel="0" collapsed="false">
      <c r="E12" s="23" t="s">
        <v>48</v>
      </c>
      <c r="F12" s="17"/>
      <c r="G12" s="18"/>
    </row>
    <row r="13" s="1" customFormat="true" ht="20" hidden="false" customHeight="false" outlineLevel="0" collapsed="false">
      <c r="E13" s="23" t="s">
        <v>50</v>
      </c>
      <c r="F13" s="17"/>
      <c r="G13" s="18"/>
    </row>
    <row r="14" s="1" customFormat="true" ht="20" hidden="false" customHeight="false" outlineLevel="0" collapsed="false">
      <c r="E14" s="38"/>
      <c r="F14" s="39"/>
      <c r="G14" s="40"/>
    </row>
  </sheetData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