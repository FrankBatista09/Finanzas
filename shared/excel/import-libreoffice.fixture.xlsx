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Agosto 2026" sheetId="1" state="visible" r:id="rId3"/>
    <sheet name="Septiembre 2026" sheetId="2" state="visible" r:id="rId4"/>
    <sheet name="Octubre 2026" sheetId="3" state="visible" r:id="rId5"/>
    <sheet name="Ahorros" sheetId="4" state="visible" r:id="rId6"/>
    <sheet name="Confi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<sst xmlns="http://schemas.openxmlformats.org/spreadsheetml/2006/main" count="511" uniqueCount="144">
  <si>
    <t xml:space="preserve">Finanzas personales</t>
  </si>
  <si>
    <t xml:space="preserve">Agosto 2026</t>
  </si>
  <si>
    <t xml:space="preserve">Tasa del mes</t>
  </si>
  <si>
    <t xml:space="preserve">Mes nuevo: usa "Cerrar mes" en la página y descarga el Excel, o duplica esta hoja (clic derecho en la pestaña → Mover o copiar → Crear una copia).</t>
  </si>
  <si>
    <t xml:space="preserve">Cálculos</t>
  </si>
  <si>
    <t xml:space="preserve">DINERO TOTAL</t>
  </si>
  <si>
    <t xml:space="preserve">PRESUPUESTO USADO</t>
  </si>
  <si>
    <r>
      <rPr>
        <sz val="10"/>
        <color rgb="FF2B3A33"/>
        <rFont val="Segoe UI"/>
        <family val="0"/>
        <charset val="1"/>
      </rPr>
      <t xml:space="preserve">■  </t>
    </r>
    <r>
      <rPr>
        <sz val="10"/>
        <color rgb="FF1D1F1C"/>
        <rFont val="Segoe UI"/>
        <family val="0"/>
        <charset val="1"/>
      </rPr>
      <t xml:space="preserve">Fijos pagados</t>
    </r>
  </si>
  <si>
    <t xml:space="preserve">Presupuesto planeado</t>
  </si>
  <si>
    <t xml:space="preserve">Cuenta USA</t>
  </si>
  <si>
    <t xml:space="preserve">USD</t>
  </si>
  <si>
    <r>
      <rPr>
        <sz val="10"/>
        <color rgb="FF2F7D52"/>
        <rFont val="Segoe UI"/>
        <family val="0"/>
        <charset val="1"/>
      </rPr>
      <t xml:space="preserve">■  </t>
    </r>
    <r>
      <rPr>
        <sz val="10"/>
        <color rgb="FF1D1F1C"/>
        <rFont val="Segoe UI"/>
        <family val="0"/>
        <charset val="1"/>
      </rPr>
      <t xml:space="preserve">Transacciones</t>
    </r>
  </si>
  <si>
    <t xml:space="preserve">Usado hasta hoy</t>
  </si>
  <si>
    <t xml:space="preserve">Cuenta RD</t>
  </si>
  <si>
    <t xml:space="preserve">DOP</t>
  </si>
  <si>
    <r>
      <rPr>
        <sz val="10"/>
        <color rgb="FFB7C4B7"/>
        <rFont val="Segoe UI"/>
        <family val="0"/>
        <charset val="1"/>
      </rPr>
      <t xml:space="preserve">■  </t>
    </r>
    <r>
      <rPr>
        <sz val="10"/>
        <color rgb="FF1D1F1C"/>
        <rFont val="Segoe UI"/>
        <family val="0"/>
        <charset val="1"/>
      </rPr>
      <t xml:space="preserve">Fijos pendientes</t>
    </r>
  </si>
  <si>
    <t xml:space="preserve">Disponible</t>
  </si>
  <si>
    <t xml:space="preserve">Ingreso del mes</t>
  </si>
  <si>
    <r>
      <rPr>
        <sz val="10"/>
        <color rgb="FFDCDAD1"/>
        <rFont val="Segoe UI"/>
        <family val="0"/>
        <charset val="1"/>
      </rPr>
      <t xml:space="preserve">■  </t>
    </r>
    <r>
      <rPr>
        <sz val="10"/>
        <color rgb="FF1D1F1C"/>
        <rFont val="Segoe UI"/>
        <family val="0"/>
        <charset val="1"/>
      </rPr>
      <t xml:space="preserve">Libre</t>
    </r>
  </si>
  <si>
    <t xml:space="preserve">Disponible tras fijos pendientes</t>
  </si>
  <si>
    <t xml:space="preserve">Ingreso − usado</t>
  </si>
  <si>
    <t xml:space="preserve">Usado en USD</t>
  </si>
  <si>
    <t xml:space="preserve">Gastos mensuales</t>
  </si>
  <si>
    <t xml:space="preserve">Por categoría</t>
  </si>
  <si>
    <t xml:space="preserve">Pagado</t>
  </si>
  <si>
    <t xml:space="preserve">Concepto</t>
  </si>
  <si>
    <t xml:space="preserve">Día de cobro</t>
  </si>
  <si>
    <t xml:space="preserve">Monto</t>
  </si>
  <si>
    <t xml:space="preserve">Moneda</t>
  </si>
  <si>
    <t xml:space="preserve">Gastos fijos</t>
  </si>
  <si>
    <t xml:space="preserve">Sí</t>
  </si>
  <si>
    <t xml:space="preserve">Luz</t>
  </si>
  <si>
    <t xml:space="preserve">Comida</t>
  </si>
  <si>
    <t xml:space="preserve">Internet</t>
  </si>
  <si>
    <t xml:space="preserve">Supermercado</t>
  </si>
  <si>
    <t xml:space="preserve">Seguro médico</t>
  </si>
  <si>
    <t xml:space="preserve">Transporte</t>
  </si>
  <si>
    <t xml:space="preserve">Pago nevera</t>
  </si>
  <si>
    <t xml:space="preserve">Entretenimiento</t>
  </si>
  <si>
    <t xml:space="preserve">Claude</t>
  </si>
  <si>
    <t xml:space="preserve">Salud</t>
  </si>
  <si>
    <t xml:space="preserve">Google One</t>
  </si>
  <si>
    <t xml:space="preserve">Ropa</t>
  </si>
  <si>
    <t xml:space="preserve">iCloud+</t>
  </si>
  <si>
    <t xml:space="preserve">Hogar</t>
  </si>
  <si>
    <t xml:space="preserve">Cluely</t>
  </si>
  <si>
    <t xml:space="preserve">Suscripciones</t>
  </si>
  <si>
    <t xml:space="preserve">Smartfit</t>
  </si>
  <si>
    <t xml:space="preserve">Educación</t>
  </si>
  <si>
    <t xml:space="preserve">Netflix</t>
  </si>
  <si>
    <t xml:space="preserve">Viajes</t>
  </si>
  <si>
    <t xml:space="preserve">Unicaribe</t>
  </si>
  <si>
    <t xml:space="preserve">Envíos USD → DOP</t>
  </si>
  <si>
    <t xml:space="preserve">Fecha</t>
  </si>
  <si>
    <t xml:space="preserve">Vía</t>
  </si>
  <si>
    <t xml:space="preserve">Tasa</t>
  </si>
  <si>
    <t xml:space="preserve">Remitly</t>
  </si>
  <si>
    <t xml:space="preserve">PayPal</t>
  </si>
  <si>
    <t xml:space="preserve">Historial de transacciones</t>
  </si>
  <si>
    <t xml:space="preserve">Descripción</t>
  </si>
  <si>
    <t xml:space="preserve">Lugar</t>
  </si>
  <si>
    <t xml:space="preserve">Categoría</t>
  </si>
  <si>
    <t xml:space="preserve">Método</t>
  </si>
  <si>
    <t xml:space="preserve">Notas</t>
  </si>
  <si>
    <t xml:space="preserve">Compra semanal</t>
  </si>
  <si>
    <t xml:space="preserve">Supermercado Nacional</t>
  </si>
  <si>
    <t xml:space="preserve">Tarjeta</t>
  </si>
  <si>
    <t xml:space="preserve">Uber</t>
  </si>
  <si>
    <t xml:space="preserve">Almuerzo</t>
  </si>
  <si>
    <t xml:space="preserve">Adrian Tropical</t>
  </si>
  <si>
    <t xml:space="preserve">Gasolina</t>
  </si>
  <si>
    <t xml:space="preserve">Texaco Churchill</t>
  </si>
  <si>
    <t xml:space="preserve">Concierto</t>
  </si>
  <si>
    <t xml:space="preserve">Teatro Nacional</t>
  </si>
  <si>
    <t xml:space="preserve">App del banco</t>
  </si>
  <si>
    <t xml:space="preserve">Jumbo</t>
  </si>
  <si>
    <t xml:space="preserve">Camisas</t>
  </si>
  <si>
    <t xml:space="preserve">Zara Blue Mall</t>
  </si>
  <si>
    <t xml:space="preserve">Consulta</t>
  </si>
  <si>
    <t xml:space="preserve">Centro Médico</t>
  </si>
  <si>
    <t xml:space="preserve">Transferencia</t>
  </si>
  <si>
    <t xml:space="preserve">Copago seguro</t>
  </si>
  <si>
    <t xml:space="preserve">Cena</t>
  </si>
  <si>
    <t xml:space="preserve">Lulú Tasting Bar</t>
  </si>
  <si>
    <t xml:space="preserve">Shell</t>
  </si>
  <si>
    <t xml:space="preserve">Septiembre 2026</t>
  </si>
  <si>
    <t xml:space="preserve">Supermercado Bravo</t>
  </si>
  <si>
    <t xml:space="preserve">Libro de contabilidad</t>
  </si>
  <si>
    <t xml:space="preserve">Librería Cuesta</t>
  </si>
  <si>
    <t xml:space="preserve">El Conuco</t>
  </si>
  <si>
    <t xml:space="preserve">Texaco</t>
  </si>
  <si>
    <t xml:space="preserve">Cine</t>
  </si>
  <si>
    <t xml:space="preserve">Caribbean Cinemas</t>
  </si>
  <si>
    <t xml:space="preserve">Farmacia</t>
  </si>
  <si>
    <t xml:space="preserve">Farmacia Carol</t>
  </si>
  <si>
    <t xml:space="preserve">Reserva hotel Estambul</t>
  </si>
  <si>
    <t xml:space="preserve">Booking</t>
  </si>
  <si>
    <t xml:space="preserve">Depósito</t>
  </si>
  <si>
    <t xml:space="preserve">Octubre 2026</t>
  </si>
  <si>
    <t xml:space="preserve">No</t>
  </si>
  <si>
    <t xml:space="preserve">Uber al trabajo</t>
  </si>
  <si>
    <t xml:space="preserve">Café</t>
  </si>
  <si>
    <t xml:space="preserve">Starbucks Ágora</t>
  </si>
  <si>
    <t xml:space="preserve">Ahorros</t>
  </si>
  <si>
    <t xml:space="preserve">MES ACTUAL</t>
  </si>
  <si>
    <t xml:space="preserve">DINERO TOTAL (DOP)</t>
  </si>
  <si>
    <t xml:space="preserve">PRESUPUESTO</t>
  </si>
  <si>
    <t xml:space="preserve">USADO</t>
  </si>
  <si>
    <t xml:space="preserve">DISPONIBLE</t>
  </si>
  <si>
    <t xml:space="preserve">TASA</t>
  </si>
  <si>
    <t xml:space="preserve">Fondo de emergencia</t>
  </si>
  <si>
    <t xml:space="preserve">Ahorro personal</t>
  </si>
  <si>
    <t xml:space="preserve">Viaje a Turquía</t>
  </si>
  <si>
    <t xml:space="preserve">Aportes variables</t>
  </si>
  <si>
    <t xml:space="preserve">Aporte</t>
  </si>
  <si>
    <t xml:space="preserve">Inicio</t>
  </si>
  <si>
    <t xml:space="preserve">Fin</t>
  </si>
  <si>
    <t xml:space="preserve">Ingresos por mes</t>
  </si>
  <si>
    <t xml:space="preserve">Aportes</t>
  </si>
  <si>
    <t xml:space="preserve">Mes</t>
  </si>
  <si>
    <t xml:space="preserve">Ingreso USD</t>
  </si>
  <si>
    <t xml:space="preserve">Ingreso DOP</t>
  </si>
  <si>
    <t xml:space="preserve">Ahorrado USD</t>
  </si>
  <si>
    <t xml:space="preserve">% ahorro</t>
  </si>
  <si>
    <t xml:space="preserve">Meta</t>
  </si>
  <si>
    <t xml:space="preserve">Noviembre 2026</t>
  </si>
  <si>
    <t xml:space="preserve">Diciembre 2026</t>
  </si>
  <si>
    <t xml:space="preserve">Enero 2027</t>
  </si>
  <si>
    <t xml:space="preserve">Febrero 2027</t>
  </si>
  <si>
    <t xml:space="preserve">Marzo 2027</t>
  </si>
  <si>
    <t xml:space="preserve">Abril 2027</t>
  </si>
  <si>
    <t xml:space="preserve">Mayo 2027</t>
  </si>
  <si>
    <t xml:space="preserve">Junio 2027</t>
  </si>
  <si>
    <t xml:space="preserve">Julio 2027</t>
  </si>
  <si>
    <t xml:space="preserve">Agosto 2027</t>
  </si>
  <si>
    <t xml:space="preserve">Septiembre 2027</t>
  </si>
  <si>
    <t xml:space="preserve">Octubre 2027</t>
  </si>
  <si>
    <t xml:space="preserve">Configuración</t>
  </si>
  <si>
    <t xml:space="preserve">AJUSTES</t>
  </si>
  <si>
    <t xml:space="preserve">CATEGORÍAS</t>
  </si>
  <si>
    <t xml:space="preserve">MÉTODOS DE PAGO</t>
  </si>
  <si>
    <t xml:space="preserve">METAS DE AHORRO</t>
  </si>
  <si>
    <t xml:space="preserve">Tasa por defecto (mes sin envíos)</t>
  </si>
  <si>
    <t xml:space="preserve">Mes actual (se muestra en Ahorros)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</si>
</sst>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DOP&quot;"/>
    <numFmt numFmtId="166" formatCode="&quot;≈ &quot;#,##0.00&quot; USD&quot;"/>
    <numFmt numFmtId="167" formatCode="#,##0"/>
    <numFmt numFmtId="168" formatCode="#,##0.00"/>
    <numFmt numFmtId="169" formatCode="dd/mm/yyyy"/>
    <numFmt numFmtId="170" formatCode="0.00"/>
    <numFmt numFmtId="171" formatCode="#,##0.00&quot; USD&quot;"/>
    <numFmt numFmtId="172" formatCode="&quot;≈ &quot;#,##0&quot; DOP&quot;"/>
    <numFmt numFmtId="173" formatCode="mm/yyyy"/>
    <numFmt numFmtId="174" formatCode="0.0%"/>
  </numFmts>
  <fonts count="39">
    <font>
      <sz val="10"/>
      <color rgb="FF1D1F1C"/>
      <name val="Segoe U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4F3EE"/>
      <name val="Segoe UI"/>
      <family val="2"/>
      <charset val="1"/>
    </font>
    <font>
      <sz val="11"/>
      <color rgb="FFA9ABA3"/>
      <name val="Segoe UI"/>
      <family val="2"/>
      <charset val="1"/>
    </font>
    <font>
      <sz val="9"/>
      <color rgb="FFA9ABA3"/>
      <name val="Segoe UI"/>
      <family val="2"/>
      <charset val="1"/>
    </font>
    <font>
      <sz val="10"/>
      <color rgb="FFF4F3EE"/>
      <name val="Consolas"/>
      <family val="2"/>
      <charset val="1"/>
    </font>
    <font>
      <i val="true"/>
      <sz val="8"/>
      <color rgb="FF6B6D66"/>
      <name val="Segoe UI"/>
      <family val="2"/>
      <charset val="1"/>
    </font>
    <font>
      <b val="true"/>
      <sz val="10"/>
      <color rgb="FF1D1F1C"/>
      <name val="Segoe UI"/>
      <family val="2"/>
      <charset val="1"/>
    </font>
    <font>
      <b val="true"/>
      <sz val="8"/>
      <color rgb="FF6B6D66"/>
      <name val="Segoe UI"/>
      <family val="2"/>
      <charset val="1"/>
    </font>
    <font>
      <b val="true"/>
      <sz val="18"/>
      <color rgb="FF1D1F1C"/>
      <name val="Consolas"/>
      <family val="2"/>
      <charset val="1"/>
    </font>
    <font>
      <sz val="9"/>
      <color rgb="FF6B6D66"/>
      <name val="Segoe UI"/>
      <family val="2"/>
      <charset val="1"/>
    </font>
    <font>
      <sz val="9.5"/>
      <color rgb="FF6B6D66"/>
      <name val="Consolas"/>
      <family val="2"/>
      <charset val="1"/>
    </font>
    <font>
      <sz val="10"/>
      <color rgb="FF2B3A33"/>
      <name val="Segoe UI"/>
      <family val="0"/>
      <charset val="1"/>
    </font>
    <font>
      <sz val="10"/>
      <color rgb="FF1D1F1C"/>
      <name val="Segoe UI"/>
      <family val="0"/>
      <charset val="1"/>
    </font>
    <font>
      <sz val="10"/>
      <color rgb="FF1D1F1C"/>
      <name val="Consolas"/>
      <family val="2"/>
      <charset val="1"/>
    </font>
    <font>
      <b val="true"/>
      <sz val="10"/>
      <color rgb="FF1D1F1C"/>
      <name val="Consolas"/>
      <family val="2"/>
      <charset val="1"/>
    </font>
    <font>
      <sz val="10"/>
      <color rgb="FF45473F"/>
      <name val="Segoe UI"/>
      <family val="2"/>
      <charset val="1"/>
    </font>
    <font>
      <sz val="8"/>
      <color rgb="FF6B6D66"/>
      <name val="Segoe UI"/>
      <family val="2"/>
      <charset val="1"/>
    </font>
    <font>
      <sz val="10"/>
      <color rgb="FF2F7D52"/>
      <name val="Segoe UI"/>
      <family val="0"/>
      <charset val="1"/>
    </font>
    <font>
      <sz val="10"/>
      <color rgb="FFB7C4B7"/>
      <name val="Segoe UI"/>
      <family val="0"/>
      <charset val="1"/>
    </font>
    <font>
      <b val="true"/>
      <sz val="10"/>
      <color rgb="FF23613F"/>
      <name val="Consolas"/>
      <family val="2"/>
      <charset val="1"/>
    </font>
    <font>
      <sz val="10"/>
      <color rgb="FFDCDAD1"/>
      <name val="Segoe UI"/>
      <family val="0"/>
      <charset val="1"/>
    </font>
    <font>
      <sz val="10"/>
      <color rgb="FF45473F"/>
      <name val="Consolas"/>
      <family val="2"/>
      <charset val="1"/>
    </font>
    <font>
      <b val="true"/>
      <sz val="12"/>
      <color rgb="FF1D1F1C"/>
      <name val="Segoe UI"/>
      <family val="2"/>
      <charset val="1"/>
    </font>
    <font>
      <sz val="6"/>
      <color rgb="FFFFFFFF"/>
      <name val="Segoe UI"/>
      <family val="2"/>
      <charset val="1"/>
    </font>
    <font>
      <sz val="9.5"/>
      <color rgb="FF45473F"/>
      <name val="Consolas"/>
      <family val="2"/>
      <charset val="1"/>
    </font>
    <font>
      <sz val="10"/>
      <color rgb="FF6B6D66"/>
      <name val="Consolas"/>
      <family val="2"/>
      <charset val="1"/>
    </font>
    <font>
      <b val="true"/>
      <sz val="7"/>
      <color rgb="FF6B6D66"/>
      <name val="Segoe UI"/>
      <family val="0"/>
    </font>
    <font>
      <b val="true"/>
      <sz val="15"/>
      <color rgb="FF1D1F1C"/>
      <name val="Consolas"/>
      <family val="0"/>
    </font>
    <font>
      <b val="true"/>
      <sz val="11"/>
      <color rgb="FF1D1F1C"/>
      <name val="Segoe UI"/>
      <family val="2"/>
      <charset val="1"/>
    </font>
    <font>
      <b val="true"/>
      <sz val="11"/>
      <color rgb="FF1D1F1C"/>
      <name val="Consolas"/>
      <family val="2"/>
      <charset val="1"/>
    </font>
    <font>
      <sz val="11"/>
      <color rgb="FF1D1F1C"/>
      <name val="Consolas"/>
      <family val="2"/>
      <charset val="1"/>
    </font>
    <font>
      <b val="true"/>
      <sz val="11"/>
      <color rgb="FF23613F"/>
      <name val="Consolas"/>
      <family val="2"/>
      <charset val="1"/>
    </font>
    <font>
      <b val="true"/>
      <sz val="16"/>
      <color rgb="FF1D1F1C"/>
      <name val="Consolas"/>
      <family val="2"/>
      <charset val="1"/>
    </font>
    <font>
      <sz val="9"/>
      <color rgb="FF6B6D66"/>
      <name val="Consolas"/>
      <family val="2"/>
      <charset val="1"/>
    </font>
    <font>
      <sz val="9"/>
      <color rgb="FF45473F"/>
      <name val="Segoe UI"/>
      <family val="2"/>
      <charset val="1"/>
    </font>
    <font>
      <sz val="10"/>
      <color rgb="FF23613F"/>
      <name val="Consola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FEEE8"/>
        <bgColor rgb="FFF1EFE9"/>
      </patternFill>
    </fill>
    <fill>
      <patternFill patternType="solid">
        <fgColor rgb="FF1D1F1C"/>
        <bgColor rgb="FF2B3A33"/>
      </patternFill>
    </fill>
    <fill>
      <patternFill patternType="solid">
        <fgColor rgb="FFFFFFFF"/>
        <bgColor rgb="FFF6F5F0"/>
      </patternFill>
    </fill>
    <fill>
      <patternFill patternType="solid">
        <fgColor rgb="FFF6F5F0"/>
        <bgColor rgb="FFF4F3EE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3E1D8"/>
      </left>
      <right/>
      <top style="thin">
        <color rgb="FFE3E1D8"/>
      </top>
      <bottom/>
      <diagonal/>
    </border>
    <border diagonalUp="false" diagonalDown="false">
      <left/>
      <right/>
      <top style="thin">
        <color rgb="FFE3E1D8"/>
      </top>
      <bottom/>
      <diagonal/>
    </border>
    <border diagonalUp="false" diagonalDown="false">
      <left/>
      <right style="thin">
        <color rgb="FFE3E1D8"/>
      </right>
      <top style="thin">
        <color rgb="FFE3E1D8"/>
      </top>
      <bottom/>
      <diagonal/>
    </border>
    <border diagonalUp="false" diagonalDown="false">
      <left style="thin">
        <color rgb="FFE3E1D8"/>
      </left>
      <right style="thin">
        <color rgb="FFE3E1D8"/>
      </right>
      <top/>
      <bottom/>
      <diagonal/>
    </border>
    <border diagonalUp="false" diagonalDown="false">
      <left style="thin">
        <color rgb="FFE3E1D8"/>
      </left>
      <right/>
      <top/>
      <bottom/>
      <diagonal/>
    </border>
    <border diagonalUp="false" diagonalDown="false">
      <left/>
      <right style="thin">
        <color rgb="FFE3E1D8"/>
      </right>
      <top/>
      <bottom/>
      <diagonal/>
    </border>
    <border diagonalUp="false" diagonalDown="false">
      <left style="thin">
        <color rgb="FFE3E1D8"/>
      </left>
      <right/>
      <top/>
      <bottom style="thin">
        <color rgb="FFEEECE5"/>
      </bottom>
      <diagonal/>
    </border>
    <border diagonalUp="false" diagonalDown="false">
      <left/>
      <right/>
      <top/>
      <bottom style="thin">
        <color rgb="FFEEECE5"/>
      </bottom>
      <diagonal/>
    </border>
    <border diagonalUp="false" diagonalDown="false">
      <left/>
      <right style="thin">
        <color rgb="FFE3E1D8"/>
      </right>
      <top/>
      <bottom style="thin">
        <color rgb="FFEEECE5"/>
      </bottom>
      <diagonal/>
    </border>
    <border diagonalUp="false" diagonalDown="false">
      <left style="thin">
        <color rgb="FFE3E1D8"/>
      </left>
      <right/>
      <top/>
      <bottom style="thin">
        <color rgb="FFE3E1D8"/>
      </bottom>
      <diagonal/>
    </border>
    <border diagonalUp="false" diagonalDown="false">
      <left/>
      <right/>
      <top/>
      <bottom style="thin">
        <color rgb="FFE3E1D8"/>
      </bottom>
      <diagonal/>
    </border>
    <border diagonalUp="false" diagonalDown="false">
      <left/>
      <right style="thin">
        <color rgb="FFE3E1D8"/>
      </right>
      <top/>
      <bottom style="thin">
        <color rgb="FFE3E1D8"/>
      </bottom>
      <diagonal/>
    </border>
    <border diagonalUp="false" diagonalDown="false">
      <left style="thin">
        <color rgb="FFE3E1D8"/>
      </left>
      <right style="thin">
        <color rgb="FFEBE9E2"/>
      </right>
      <top style="thin">
        <color rgb="FFE3E1D8"/>
      </top>
      <bottom style="thin">
        <color rgb="FFE3E1D8"/>
      </bottom>
      <diagonal/>
    </border>
    <border diagonalUp="false" diagonalDown="false">
      <left/>
      <right style="thin">
        <color rgb="FFEBE9E2"/>
      </right>
      <top style="thin">
        <color rgb="FFE3E1D8"/>
      </top>
      <bottom style="thin">
        <color rgb="FFE3E1D8"/>
      </bottom>
      <diagonal/>
    </border>
    <border diagonalUp="false" diagonalDown="false">
      <left style="thin">
        <color rgb="FFE3E1D8"/>
      </left>
      <right style="thin">
        <color rgb="FFF1EFE9"/>
      </right>
      <top/>
      <bottom style="thin">
        <color rgb="FFEEECE5"/>
      </bottom>
      <diagonal/>
    </border>
    <border diagonalUp="false" diagonalDown="false">
      <left/>
      <right style="thin">
        <color rgb="FFF1EFE9"/>
      </right>
      <top/>
      <bottom style="thin">
        <color rgb="FFEEE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5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2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4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4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2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3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4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33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5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5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6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6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5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5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5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8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8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6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F6F5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5473F"/>
          <bgColor rgb="FF000000"/>
        </patternFill>
      </fill>
    </dxf>
    <dxf>
      <fill>
        <patternFill patternType="solid">
          <fgColor rgb="FF6B6D66"/>
          <bgColor rgb="FF000000"/>
        </patternFill>
      </fill>
    </dxf>
    <dxf>
      <fill>
        <patternFill patternType="solid">
          <fgColor rgb="FF1D1F1C"/>
          <bgColor rgb="FF000000"/>
        </patternFill>
      </fill>
    </dxf>
    <dxf>
      <fill>
        <patternFill patternType="solid">
          <fgColor rgb="FFE6F0E9"/>
          <bgColor rgb="FF000000"/>
        </patternFill>
      </fill>
    </dxf>
    <dxf>
      <fill>
        <patternFill patternType="solid">
          <fgColor rgb="FF23613F"/>
          <bgColor rgb="FF000000"/>
        </patternFill>
      </fill>
    </dxf>
    <dxf>
      <font>
        <b val="1"/>
        <color rgb="FFB23A2A"/>
      </font>
    </dxf>
    <dxf>
      <font>
        <b val="1"/>
        <color rgb="FF23613F"/>
      </font>
      <fill>
        <patternFill>
          <bgColor rgb="FFE6F0E9"/>
        </patternFill>
      </fill>
    </dxf>
    <dxf>
      <font>
        <color rgb="FF9A9C94"/>
      </font>
    </dxf>
    <dxf>
      <fill>
        <patternFill patternType="solid">
          <fgColor rgb="FF9A9C9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4F3EE"/>
      <rgbColor rgb="FFFF00FF"/>
      <rgbColor rgb="FF00FFFF"/>
      <rgbColor rgb="FF800000"/>
      <rgbColor rgb="FF23613F"/>
      <rgbColor rgb="FF000080"/>
      <rgbColor rgb="FF808000"/>
      <rgbColor rgb="FF800080"/>
      <rgbColor rgb="FF008080"/>
      <rgbColor rgb="FFB7C4B7"/>
      <rgbColor rgb="FF808080"/>
      <rgbColor rgb="FFA9ABA3"/>
      <rgbColor rgb="FF993366"/>
      <rgbColor rgb="FFF6F5F0"/>
      <rgbColor rgb="FFE6F0E9"/>
      <rgbColor rgb="FF660066"/>
      <rgbColor rgb="FFFF8080"/>
      <rgbColor rgb="FF0066CC"/>
      <rgbColor rgb="FFC9D3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EE8"/>
      <rgbColor rgb="FFEBE9E1"/>
      <rgbColor rgb="FFF1EFE9"/>
      <rgbColor rgb="FFE3E1D8"/>
      <rgbColor rgb="FFEBE9E2"/>
      <rgbColor rgb="FFEEECE5"/>
      <rgbColor rgb="FFDCDAD1"/>
      <rgbColor rgb="FF3366FF"/>
      <rgbColor rgb="FF33CCCC"/>
      <rgbColor rgb="FF99CC00"/>
      <rgbColor rgb="FFFFCC00"/>
      <rgbColor rgb="FFFF9900"/>
      <rgbColor rgb="FFFF6600"/>
      <rgbColor rgb="FF6B6D66"/>
      <rgbColor rgb="FF9A9C94"/>
      <rgbColor rgb="FF003366"/>
      <rgbColor rgb="FF2F7D52"/>
      <rgbColor rgb="FF003300"/>
      <rgbColor rgb="FF1D1F1C"/>
      <rgbColor rgb="FFB23A2A"/>
      <rgbColor rgb="FF993366"/>
      <rgbColor rgb="FF45473F"/>
      <rgbColor rgb="FF2B3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299309286262471"/>
          <c:y val="0.0300809872734285"/>
          <c:w val="0.939754412893323"/>
          <c:h val="0.939838025453143"/>
        </c:manualLayout>
      </c:layout>
      <c:doughnutChart>
        <c:varyColors val="1"/>
        <c:ser>
          <c:idx val="0"/>
          <c:order val="0"/>
          <c:tx>
            <c:strRef>
              <c:f>"Presupuesto"</c:f>
              <c:strCache>
                <c:ptCount val="1"/>
                <c:pt idx="0">
                  <c:v>Presupuesto</c:v>
                </c:pt>
              </c:strCache>
            </c:strRef>
          </c:tx>
          <c:spPr>
            <a:noFill/>
            <a:ln w="0">
              <a:noFill/>
            </a:ln>
          </c:spPr>
          <c:explosion val="0"/>
          <c:dPt>
            <c:idx val="0"/>
            <c:spPr>
              <a:solidFill>
                <a:srgbClr val="2B3A3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7D5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9D3C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BE9E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'Agosto 2026'!$T$4:$T$7</c:f>
              <c:numCache>
                <c:formatCode>General</c:formatCode>
                <c:ptCount val="4"/>
                <c:pt idx="0">
                  <c:v>41917.6933333333</c:v>
                </c:pt>
                <c:pt idx="1">
                  <c:v>27850</c:v>
                </c:pt>
                <c:pt idx="2">
                  <c:v>0</c:v>
                </c:pt>
                <c:pt idx="3">
                  <c:v>232.306666666664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299309286262471"/>
          <c:y val="0.0300809872734285"/>
          <c:w val="0.939754412893323"/>
          <c:h val="0.939838025453143"/>
        </c:manualLayout>
      </c:layout>
      <c:doughnutChart>
        <c:varyColors val="1"/>
        <c:ser>
          <c:idx val="0"/>
          <c:order val="0"/>
          <c:tx>
            <c:strRef>
              <c:f>"Presupuesto"</c:f>
              <c:strCache>
                <c:ptCount val="1"/>
                <c:pt idx="0">
                  <c:v>Presupuesto</c:v>
                </c:pt>
              </c:strCache>
            </c:strRef>
          </c:tx>
          <c:spPr>
            <a:noFill/>
            <a:ln w="0">
              <a:noFill/>
            </a:ln>
          </c:spPr>
          <c:explosion val="0"/>
          <c:dPt>
            <c:idx val="0"/>
            <c:spPr>
              <a:solidFill>
                <a:srgbClr val="2B3A3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7D5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9D3C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BE9E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'Septiembre 2026'!$T$4:$T$7</c:f>
              <c:numCache>
                <c:formatCode>General</c:formatCode>
                <c:ptCount val="4"/>
                <c:pt idx="0">
                  <c:v>42081.5408695652</c:v>
                </c:pt>
                <c:pt idx="1">
                  <c:v>24555</c:v>
                </c:pt>
                <c:pt idx="2">
                  <c:v>0</c:v>
                </c:pt>
                <c:pt idx="3">
                  <c:v>3363.45913043479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299309286262471"/>
          <c:y val="0.0300809872734285"/>
          <c:w val="0.939754412893323"/>
          <c:h val="0.939838025453143"/>
        </c:manualLayout>
      </c:layout>
      <c:doughnutChart>
        <c:varyColors val="1"/>
        <c:ser>
          <c:idx val="0"/>
          <c:order val="0"/>
          <c:tx>
            <c:strRef>
              <c:f>"Presupuesto"</c:f>
              <c:strCache>
                <c:ptCount val="1"/>
                <c:pt idx="0">
                  <c:v>Presupuesto</c:v>
                </c:pt>
              </c:strCache>
            </c:strRef>
          </c:tx>
          <c:spPr>
            <a:noFill/>
            <a:ln w="0">
              <a:noFill/>
            </a:ln>
          </c:spPr>
          <c:explosion val="0"/>
          <c:dPt>
            <c:idx val="0"/>
            <c:spPr>
              <a:solidFill>
                <a:srgbClr val="2B3A3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7D5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9D3C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BE9E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'Octubre 2026'!$T$4:$T$7</c:f>
              <c:numCache>
                <c:formatCode>General</c:formatCode>
                <c:ptCount val="4"/>
                <c:pt idx="0">
                  <c:v>38304.71</c:v>
                </c:pt>
                <c:pt idx="1">
                  <c:v>10845</c:v>
                </c:pt>
                <c:pt idx="2">
                  <c:v>3720.86</c:v>
                </c:pt>
                <c:pt idx="3">
                  <c:v>17129.43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noFill/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81000</xdr:colOff>
      <xdr:row>3</xdr:row>
      <xdr:rowOff>108000</xdr:rowOff>
    </xdr:from>
    <xdr:to>
      <xdr:col>5</xdr:col>
      <xdr:colOff>899640</xdr:colOff>
      <xdr:row>11</xdr:row>
      <xdr:rowOff>18720</xdr:rowOff>
    </xdr:to>
    <xdr:graphicFrame>
      <xdr:nvGraphicFramePr>
        <xdr:cNvPr id="1" name="Dona presupuesto"/>
        <xdr:cNvGraphicFramePr/>
      </xdr:nvGraphicFramePr>
      <xdr:xfrm>
        <a:off x="4028040" y="717480"/>
        <a:ext cx="1875960" cy="186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442800</xdr:colOff>
      <xdr:row>5</xdr:row>
      <xdr:rowOff>171360</xdr:rowOff>
    </xdr:from>
    <xdr:to>
      <xdr:col>5</xdr:col>
      <xdr:colOff>537840</xdr:colOff>
      <xdr:row>6</xdr:row>
      <xdr:rowOff>75600</xdr:rowOff>
    </xdr:to>
    <xdr:sp>
      <xdr:nvSpPr>
        <xdr:cNvPr id="2" name="Centro 4"/>
        <xdr:cNvSpPr/>
      </xdr:nvSpPr>
      <xdr:spPr>
        <a:xfrm>
          <a:off x="4389840" y="1365120"/>
          <a:ext cx="1152360" cy="132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es-DO" sz="700" b="1" u="none" strike="noStrike">
              <a:solidFill>
                <a:srgbClr val="6B6D66"/>
              </a:solidFill>
              <a:effectLst/>
              <a:uFillTx/>
              <a:latin typeface="Segoe UI"/>
            </a:rPr>
            <a:t>USADO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6</xdr:row>
      <xdr:rowOff>85680</xdr:rowOff>
    </xdr:from>
    <xdr:to>
      <xdr:col>5</xdr:col>
      <xdr:colOff>633240</xdr:colOff>
      <xdr:row>7</xdr:row>
      <xdr:rowOff>186840</xdr:rowOff>
    </xdr:to>
    <xdr:sp textlink="$T$9">
      <xdr:nvSpPr>
        <xdr:cNvPr id="3" name="Centro 5"/>
        <xdr:cNvSpPr/>
      </xdr:nvSpPr>
      <xdr:spPr>
        <a:xfrm>
          <a:off x="4294800" y="1508040"/>
          <a:ext cx="134280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es-DO" sz="1500" b="1" u="none" strike="noStrike">
              <a:solidFill>
                <a:srgbClr val="1D1F1C"/>
              </a:solidFill>
              <a:effectLst/>
              <a:uFillTx/>
              <a:latin typeface="Consolas"/>
            </a:rPr>
            <a:t>0</a:t>
          </a:r>
          <a:endParaRPr lang="en-US" sz="15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7</xdr:row>
      <xdr:rowOff>196920</xdr:rowOff>
    </xdr:from>
    <xdr:to>
      <xdr:col>5</xdr:col>
      <xdr:colOff>633240</xdr:colOff>
      <xdr:row>8</xdr:row>
      <xdr:rowOff>95040</xdr:rowOff>
    </xdr:to>
    <xdr:sp textlink="$T$10">
      <xdr:nvSpPr>
        <xdr:cNvPr id="4" name="Centro 6"/>
        <xdr:cNvSpPr/>
      </xdr:nvSpPr>
      <xdr:spPr>
        <a:xfrm>
          <a:off x="4294800" y="1746360"/>
          <a:ext cx="1342800" cy="15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81000</xdr:colOff>
      <xdr:row>3</xdr:row>
      <xdr:rowOff>108000</xdr:rowOff>
    </xdr:from>
    <xdr:to>
      <xdr:col>5</xdr:col>
      <xdr:colOff>899640</xdr:colOff>
      <xdr:row>11</xdr:row>
      <xdr:rowOff>18720</xdr:rowOff>
    </xdr:to>
    <xdr:graphicFrame>
      <xdr:nvGraphicFramePr>
        <xdr:cNvPr id="5" name="Dona presupuesto"/>
        <xdr:cNvGraphicFramePr/>
      </xdr:nvGraphicFramePr>
      <xdr:xfrm>
        <a:off x="4028040" y="717480"/>
        <a:ext cx="1875960" cy="186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442800</xdr:colOff>
      <xdr:row>5</xdr:row>
      <xdr:rowOff>171360</xdr:rowOff>
    </xdr:from>
    <xdr:to>
      <xdr:col>5</xdr:col>
      <xdr:colOff>537840</xdr:colOff>
      <xdr:row>6</xdr:row>
      <xdr:rowOff>75600</xdr:rowOff>
    </xdr:to>
    <xdr:sp>
      <xdr:nvSpPr>
        <xdr:cNvPr id="6" name="Centro 4"/>
        <xdr:cNvSpPr/>
      </xdr:nvSpPr>
      <xdr:spPr>
        <a:xfrm>
          <a:off x="4389840" y="1365120"/>
          <a:ext cx="1152360" cy="132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es-DO" sz="700" b="1" u="none" strike="noStrike">
              <a:solidFill>
                <a:srgbClr val="6B6D66"/>
              </a:solidFill>
              <a:effectLst/>
              <a:uFillTx/>
              <a:latin typeface="Segoe UI"/>
            </a:rPr>
            <a:t>USADO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6</xdr:row>
      <xdr:rowOff>85680</xdr:rowOff>
    </xdr:from>
    <xdr:to>
      <xdr:col>5</xdr:col>
      <xdr:colOff>633240</xdr:colOff>
      <xdr:row>7</xdr:row>
      <xdr:rowOff>186840</xdr:rowOff>
    </xdr:to>
    <xdr:sp textlink="$T$9">
      <xdr:nvSpPr>
        <xdr:cNvPr id="7" name="Centro 5"/>
        <xdr:cNvSpPr/>
      </xdr:nvSpPr>
      <xdr:spPr>
        <a:xfrm>
          <a:off x="4294800" y="1508040"/>
          <a:ext cx="134280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es-DO" sz="1500" b="1" u="none" strike="noStrike">
              <a:solidFill>
                <a:srgbClr val="1D1F1C"/>
              </a:solidFill>
              <a:effectLst/>
              <a:uFillTx/>
              <a:latin typeface="Consolas"/>
            </a:rPr>
            <a:t>0</a:t>
          </a:r>
          <a:endParaRPr lang="en-US" sz="15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7</xdr:row>
      <xdr:rowOff>196920</xdr:rowOff>
    </xdr:from>
    <xdr:to>
      <xdr:col>5</xdr:col>
      <xdr:colOff>633240</xdr:colOff>
      <xdr:row>8</xdr:row>
      <xdr:rowOff>95040</xdr:rowOff>
    </xdr:to>
    <xdr:sp textlink="$T$10">
      <xdr:nvSpPr>
        <xdr:cNvPr id="8" name="Centro 6"/>
        <xdr:cNvSpPr/>
      </xdr:nvSpPr>
      <xdr:spPr>
        <a:xfrm>
          <a:off x="4294800" y="1746360"/>
          <a:ext cx="1342800" cy="15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81000</xdr:colOff>
      <xdr:row>3</xdr:row>
      <xdr:rowOff>108000</xdr:rowOff>
    </xdr:from>
    <xdr:to>
      <xdr:col>5</xdr:col>
      <xdr:colOff>899640</xdr:colOff>
      <xdr:row>11</xdr:row>
      <xdr:rowOff>18720</xdr:rowOff>
    </xdr:to>
    <xdr:graphicFrame>
      <xdr:nvGraphicFramePr>
        <xdr:cNvPr id="9" name="Dona presupuesto"/>
        <xdr:cNvGraphicFramePr/>
      </xdr:nvGraphicFramePr>
      <xdr:xfrm>
        <a:off x="4028040" y="717480"/>
        <a:ext cx="1875960" cy="186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442800</xdr:colOff>
      <xdr:row>5</xdr:row>
      <xdr:rowOff>171360</xdr:rowOff>
    </xdr:from>
    <xdr:to>
      <xdr:col>5</xdr:col>
      <xdr:colOff>537840</xdr:colOff>
      <xdr:row>6</xdr:row>
      <xdr:rowOff>75600</xdr:rowOff>
    </xdr:to>
    <xdr:sp>
      <xdr:nvSpPr>
        <xdr:cNvPr id="10" name="Centro 4"/>
        <xdr:cNvSpPr/>
      </xdr:nvSpPr>
      <xdr:spPr>
        <a:xfrm>
          <a:off x="4389840" y="1365120"/>
          <a:ext cx="1152360" cy="132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es-DO" sz="700" b="1" u="none" strike="noStrike">
              <a:solidFill>
                <a:srgbClr val="6B6D66"/>
              </a:solidFill>
              <a:effectLst/>
              <a:uFillTx/>
              <a:latin typeface="Segoe UI"/>
            </a:rPr>
            <a:t>USADO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6</xdr:row>
      <xdr:rowOff>85680</xdr:rowOff>
    </xdr:from>
    <xdr:to>
      <xdr:col>5</xdr:col>
      <xdr:colOff>633240</xdr:colOff>
      <xdr:row>7</xdr:row>
      <xdr:rowOff>186840</xdr:rowOff>
    </xdr:to>
    <xdr:sp textlink="$T$9">
      <xdr:nvSpPr>
        <xdr:cNvPr id="11" name="Centro 5"/>
        <xdr:cNvSpPr/>
      </xdr:nvSpPr>
      <xdr:spPr>
        <a:xfrm>
          <a:off x="4294800" y="1508040"/>
          <a:ext cx="134280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overflow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es-DO" sz="1500" b="1" u="none" strike="noStrike">
              <a:solidFill>
                <a:srgbClr val="1D1F1C"/>
              </a:solidFill>
              <a:effectLst/>
              <a:uFillTx/>
              <a:latin typeface="Consolas"/>
            </a:rPr>
            <a:t>0</a:t>
          </a:r>
          <a:endParaRPr lang="en-US" sz="15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347760</xdr:colOff>
      <xdr:row>7</xdr:row>
      <xdr:rowOff>196920</xdr:rowOff>
    </xdr:from>
    <xdr:to>
      <xdr:col>5</xdr:col>
      <xdr:colOff>633240</xdr:colOff>
      <xdr:row>8</xdr:row>
      <xdr:rowOff>95040</xdr:rowOff>
    </xdr:to>
    <xdr:sp textlink="$T$10">
      <xdr:nvSpPr>
        <xdr:cNvPr id="12" name="Centro 6"/>
        <xdr:cNvSpPr/>
      </xdr:nvSpPr>
      <xdr:spPr>
        <a:xfrm>
          <a:off x="4294800" y="1746360"/>
          <a:ext cx="1342800" cy="15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ables/table1.xml><?xml version="1.0" encoding="utf-8"?>
<table xmlns="http://schemas.openxmlformats.org/spreadsheetml/2006/main" id="1" name="Aportes" displayName="Aportes" ref="I15:O33" headerRowCount="1" totalsRowCount="0" totalsRowShown="0">
  <tableColumns count="7">
    <tableColumn id="1" name="Fecha"/>
    <tableColumn id="2" name="Mes"/>
    <tableColumn id="3" name="Meta"/>
    <tableColumn id="4" name="Monto"/>
    <tableColumn id="5" name="Moneda"/>
    <tableColumn id="6" name="USD"/>
    <tableColumn id="7" name="DOP"/>
  </tableColumns>
</table>
</file>

<file path=xl/tables/table2.xml><?xml version="1.0" encoding="utf-8"?>
<table xmlns="http://schemas.openxmlformats.org/spreadsheetml/2006/main" id="2" name="Env_2026_08" displayName="Env_2026_08" ref="M29:Q34" headerRowCount="1" totalsRowCount="0" totalsRowShown="0">
  <tableColumns count="5">
    <tableColumn id="1" name="Fecha"/>
    <tableColumn id="2" name="Vía"/>
    <tableColumn id="3" name="USD"/>
    <tableColumn id="4" name="Tasa"/>
    <tableColumn id="5" name="DOP"/>
  </tableColumns>
</table>
</file>

<file path=xl/tables/table3.xml><?xml version="1.0" encoding="utf-8"?>
<table xmlns="http://schemas.openxmlformats.org/spreadsheetml/2006/main" id="3" name="Env_2026_09" displayName="Env_2026_09" ref="M29:Q34" headerRowCount="1" totalsRowCount="0" totalsRowShown="0">
  <tableColumns count="5">
    <tableColumn id="1" name="Fecha"/>
    <tableColumn id="2" name="Vía"/>
    <tableColumn id="3" name="USD"/>
    <tableColumn id="4" name="Tasa"/>
    <tableColumn id="5" name="DOP"/>
  </tableColumns>
</table>
</file>

<file path=xl/tables/table4.xml><?xml version="1.0" encoding="utf-8"?>
<table xmlns="http://schemas.openxmlformats.org/spreadsheetml/2006/main" id="4" name="Env_2026_10" displayName="Env_2026_10" ref="M29:Q34" headerRowCount="1" totalsRowCount="0" totalsRowShown="0">
  <tableColumns count="5">
    <tableColumn id="1" name="Fecha"/>
    <tableColumn id="2" name="Vía"/>
    <tableColumn id="3" name="USD"/>
    <tableColumn id="4" name="Tasa"/>
    <tableColumn id="5" name="DOP"/>
  </tableColumns>
</table>
</file>

<file path=xl/tables/table5.xml><?xml version="1.0" encoding="utf-8"?>
<table xmlns="http://schemas.openxmlformats.org/spreadsheetml/2006/main" id="5" name="Fijos_2026_08" displayName="Fijos_2026_08" ref="B15:H30" headerRowCount="1" totalsRowCount="0" totalsRowShown="0">
  <tableColumns count="7">
    <tableColumn id="1" name="Pagado"/>
    <tableColumn id="2" name="Concepto"/>
    <tableColumn id="3" name="Día de cobro"/>
    <tableColumn id="4" name="Monto"/>
    <tableColumn id="5" name="Moneda"/>
    <tableColumn id="6" name="DOP"/>
    <tableColumn id="7" name="USD"/>
  </tableColumns>
</table>
</file>

<file path=xl/tables/table6.xml><?xml version="1.0" encoding="utf-8"?>
<table xmlns="http://schemas.openxmlformats.org/spreadsheetml/2006/main" id="6" name="Fijos_2026_09" displayName="Fijos_2026_09" ref="B15:H30" headerRowCount="1" totalsRowCount="0" totalsRowShown="0">
  <tableColumns count="7">
    <tableColumn id="1" name="Pagado"/>
    <tableColumn id="2" name="Concepto"/>
    <tableColumn id="3" name="Día de cobro"/>
    <tableColumn id="4" name="Monto"/>
    <tableColumn id="5" name="Moneda"/>
    <tableColumn id="6" name="DOP"/>
    <tableColumn id="7" name="USD"/>
  </tableColumns>
</table>
</file>

<file path=xl/tables/table7.xml><?xml version="1.0" encoding="utf-8"?>
<table xmlns="http://schemas.openxmlformats.org/spreadsheetml/2006/main" id="7" name="Fijos_2026_10" displayName="Fijos_2026_10" ref="B15:H30" headerRowCount="1" totalsRowCount="0" totalsRowShown="0">
  <tableColumns count="7">
    <tableColumn id="1" name="Pagado"/>
    <tableColumn id="2" name="Concepto"/>
    <tableColumn id="3" name="Día de cobro"/>
    <tableColumn id="4" name="Monto"/>
    <tableColumn id="5" name="Moneda"/>
    <tableColumn id="6" name="DOP"/>
    <tableColumn id="7" name="USD"/>
  </tableColumns>
</table>
</file>

<file path=xl/tables/table8.xml><?xml version="1.0" encoding="utf-8"?>
<table xmlns="http://schemas.openxmlformats.org/spreadsheetml/2006/main" id="8" name="Tx_2026_08" displayName="Tx_2026_08" ref="B38:K60" headerRowCount="1" totalsRowCount="0" totalsRowShown="0">
  <tableColumns count="10">
    <tableColumn id="1" name="Fecha"/>
    <tableColumn id="2" name="Descripción"/>
    <tableColumn id="3" name="Lugar"/>
    <tableColumn id="4" name="Categoría"/>
    <tableColumn id="5" name="Método"/>
    <tableColumn id="6" name="Monto"/>
    <tableColumn id="7" name="Moneda"/>
    <tableColumn id="8" name="DOP"/>
    <tableColumn id="9" name="USD"/>
    <tableColumn id="10" name="Notas"/>
  </tableColumns>
</table>
</file>

<file path=xl/tables/table9.xml><?xml version="1.0" encoding="utf-8"?>
<table xmlns="http://schemas.openxmlformats.org/spreadsheetml/2006/main" id="9" name="Tx_2026_09" displayName="Tx_2026_09" ref="B38:K60" headerRowCount="1" totalsRowCount="0" totalsRowShown="0">
  <tableColumns count="10">
    <tableColumn id="1" name="Fecha"/>
    <tableColumn id="2" name="Descripción"/>
    <tableColumn id="3" name="Lugar"/>
    <tableColumn id="4" name="Categoría"/>
    <tableColumn id="5" name="Método"/>
    <tableColumn id="6" name="Monto"/>
    <tableColumn id="7" name="Moneda"/>
    <tableColumn id="8" name="DOP"/>
    <tableColumn id="9" name="USD"/>
    <tableColumn id="10" name="Notas"/>
  </tableColumns>
</table>
</file>

<file path=xl/tables/table10.xml><?xml version="1.0" encoding="utf-8"?>
<table xmlns="http://schemas.openxmlformats.org/spreadsheetml/2006/main" id="10" name="Tx_2026_10" displayName="Tx_2026_10" ref="B38:K57" headerRowCount="1" totalsRowCount="0" totalsRowShown="0">
  <tableColumns count="10">
    <tableColumn id="1" name="Fecha"/>
    <tableColumn id="2" name="Descripción"/>
    <tableColumn id="3" name="Lugar"/>
    <tableColumn id="4" name="Categoría"/>
    <tableColumn id="5" name="Método"/>
    <tableColumn id="6" name="Monto"/>
    <tableColumn id="7" name="Moneda"/>
    <tableColumn id="8" name="DOP"/>
    <tableColumn id="9" name="USD"/>
    <tableColumn id="10" name="Nota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Relationship Id="rId3" Type="http://schemas.openxmlformats.org/officeDocument/2006/relationships/table" Target="../tables/table5.xml"/><Relationship Id="rId4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<Relationship Id="rId3" Type="http://schemas.openxmlformats.org/officeDocument/2006/relationships/table" Target="../tables/table6.xml"/><Relationship Id="rId4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<Relationship Id="rId3" Type="http://schemas.openxmlformats.org/officeDocument/2006/relationships/table" Target="../tables/table7.xml"/><Relationship Id="rId4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D52"/>
    <pageSetUpPr fitToPage="false"/>
  </sheetPr>
  <dimension ref="A1:T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3"/>
    <col collapsed="false" customWidth="true" hidden="false" outlineLevel="0" max="13" min="13" style="1" width="11"/>
    <col collapsed="false" customWidth="true" hidden="false" outlineLevel="0" max="15" min="14" style="1" width="1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9" min="18" style="1" width="2"/>
    <col collapsed="false" customWidth="true" hidden="true" outlineLevel="0" max="20" min="20" style="1" width="14"/>
    <col collapsed="false" customWidth="true" hidden="false" outlineLevel="0" max="60" min="21" style="1" width="9"/>
  </cols>
  <sheetData>
    <row r="1" s="1" customFormat="true" ht="26" hidden="false" customHeight="true" outlineLevel="0" collapsed="false">
      <c r="A1" s="2"/>
      <c r="B1" s="3" t="s">
        <v>0</v>
      </c>
      <c r="C1" s="2"/>
      <c r="D1" s="4" t="s">
        <v>1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 t="str">
        <f aca="false">"1 USD = "&amp;FIXED($T$3,2)&amp;" DOP"</f>
        <v>1 USD = 58.18 DOP</v>
      </c>
      <c r="O1" s="6"/>
      <c r="P1" s="6"/>
      <c r="Q1" s="6"/>
      <c r="R1" s="2"/>
    </row>
    <row r="2" s="1" customFormat="true" ht="16" hidden="false" customHeight="true" outlineLevel="0" collapsed="false">
      <c r="B2" s="7" t="s">
        <v>3</v>
      </c>
      <c r="T2" s="8" t="s">
        <v>4</v>
      </c>
    </row>
    <row r="3" s="1" customFormat="true" ht="6" hidden="false" customHeight="true" outlineLevel="0" collapsed="false">
      <c r="T3" s="9" t="n">
        <f aca="false">IFERROR(SUMPRODUCT(Env_2026_08[USD],Env_2026_08[Tasa])/SUM(Env_2026_08[USD]),Config!$C$4)</f>
        <v>58.1833333333333</v>
      </c>
    </row>
    <row r="4" s="1" customFormat="true" ht="18" hidden="false" customHeight="true" outlineLevel="0" collapsed="false">
      <c r="B4" s="10" t="s">
        <v>5</v>
      </c>
      <c r="C4" s="11"/>
      <c r="D4" s="12"/>
      <c r="E4" s="13"/>
      <c r="F4" s="11"/>
      <c r="G4" s="14" t="s">
        <v>6</v>
      </c>
      <c r="H4" s="11"/>
      <c r="I4" s="12"/>
      <c r="J4" s="10" t="str">
        <f aca="false">UPPER($D$1)</f>
        <v>AGOSTO 2026</v>
      </c>
      <c r="K4" s="11"/>
      <c r="L4" s="11"/>
      <c r="M4" s="11"/>
      <c r="N4" s="11"/>
      <c r="O4" s="11"/>
      <c r="P4" s="11"/>
      <c r="Q4" s="12"/>
      <c r="T4" s="9" t="n">
        <f aca="false">SUMIFS(Fijos_2026_08[DOP],Fijos_2026_08[Pagado],"Sí")</f>
        <v>41917.6933333333</v>
      </c>
    </row>
    <row r="5" s="1" customFormat="true" ht="28" hidden="false" customHeight="true" outlineLevel="0" collapsed="false">
      <c r="B5" s="15" t="n">
        <f aca="false">C8*$T$3+C9</f>
        <v>305115</v>
      </c>
      <c r="C5" s="15"/>
      <c r="D5" s="15"/>
      <c r="E5" s="16"/>
      <c r="F5" s="17"/>
      <c r="G5" s="17"/>
      <c r="H5" s="17"/>
      <c r="I5" s="18"/>
      <c r="J5" s="19" t="str">
        <f aca="false">FIXED(100*$T$8/MAX(1,O6),1)&amp;"% del presupuesto usado"</f>
        <v>99.7% del presupuesto usado</v>
      </c>
      <c r="K5" s="17"/>
      <c r="L5" s="17"/>
      <c r="M5" s="17"/>
      <c r="N5" s="17"/>
      <c r="O5" s="17"/>
      <c r="P5" s="17"/>
      <c r="Q5" s="18"/>
      <c r="T5" s="9" t="n">
        <f aca="false">SUM(Tx_2026_08[DOP])</f>
        <v>27850</v>
      </c>
    </row>
    <row r="6" s="1" customFormat="true" ht="18" hidden="false" customHeight="true" outlineLevel="0" collapsed="false">
      <c r="B6" s="20" t="n">
        <f aca="false">C8+C9/$T$3</f>
        <v>5244.02749928387</v>
      </c>
      <c r="C6" s="20"/>
      <c r="D6" s="20"/>
      <c r="E6" s="16"/>
      <c r="F6" s="17"/>
      <c r="G6" s="21" t="s">
        <v>7</v>
      </c>
      <c r="H6" s="21"/>
      <c r="I6" s="22" t="n">
        <f aca="false">$T$4</f>
        <v>41917.6933333333</v>
      </c>
      <c r="J6" s="23" t="s">
        <v>8</v>
      </c>
      <c r="K6" s="24"/>
      <c r="L6" s="24"/>
      <c r="M6" s="24"/>
      <c r="N6" s="24"/>
      <c r="O6" s="25" t="n">
        <v>70000</v>
      </c>
      <c r="P6" s="25"/>
      <c r="Q6" s="25"/>
      <c r="T6" s="9" t="n">
        <f aca="false">SUMIFS(Fijos_2026_08[DOP],Fijos_2026_08[Pagado],"No")</f>
        <v>0</v>
      </c>
    </row>
    <row r="7" s="1" customFormat="true" ht="10" hidden="false" customHeight="true" outlineLevel="0" collapsed="false">
      <c r="B7" s="16"/>
      <c r="C7" s="17"/>
      <c r="D7" s="18"/>
      <c r="E7" s="16"/>
      <c r="F7" s="17"/>
      <c r="G7" s="17"/>
      <c r="H7" s="17"/>
      <c r="I7" s="18"/>
      <c r="J7" s="16"/>
      <c r="K7" s="17"/>
      <c r="L7" s="17"/>
      <c r="M7" s="17"/>
      <c r="N7" s="17"/>
      <c r="O7" s="17"/>
      <c r="P7" s="17"/>
      <c r="Q7" s="18"/>
      <c r="T7" s="9" t="n">
        <f aca="false">MAX(0,O6-T4-T5-T6)</f>
        <v>232.306666666664</v>
      </c>
    </row>
    <row r="8" s="1" customFormat="true" ht="20" hidden="false" customHeight="true" outlineLevel="0" collapsed="false">
      <c r="B8" s="26" t="s">
        <v>9</v>
      </c>
      <c r="C8" s="27" t="n">
        <v>3900</v>
      </c>
      <c r="D8" s="28" t="s">
        <v>10</v>
      </c>
      <c r="E8" s="16"/>
      <c r="F8" s="17"/>
      <c r="G8" s="29" t="s">
        <v>11</v>
      </c>
      <c r="H8" s="29"/>
      <c r="I8" s="22" t="n">
        <f aca="false">$T$5</f>
        <v>27850</v>
      </c>
      <c r="J8" s="30" t="s">
        <v>12</v>
      </c>
      <c r="K8" s="24"/>
      <c r="L8" s="24"/>
      <c r="M8" s="24"/>
      <c r="N8" s="24"/>
      <c r="O8" s="31" t="n">
        <f aca="false">$T$8</f>
        <v>69767.6933333333</v>
      </c>
      <c r="P8" s="31"/>
      <c r="Q8" s="31"/>
      <c r="T8" s="9" t="n">
        <f aca="false">T4+T5</f>
        <v>69767.6933333333</v>
      </c>
    </row>
    <row r="9" s="1" customFormat="true" ht="20" hidden="false" customHeight="true" outlineLevel="0" collapsed="false">
      <c r="B9" s="26" t="s">
        <v>13</v>
      </c>
      <c r="C9" s="27" t="n">
        <v>78200</v>
      </c>
      <c r="D9" s="28" t="s">
        <v>14</v>
      </c>
      <c r="E9" s="16"/>
      <c r="F9" s="17"/>
      <c r="G9" s="32" t="s">
        <v>15</v>
      </c>
      <c r="H9" s="32"/>
      <c r="I9" s="22" t="n">
        <f aca="false">$T$6</f>
        <v>0</v>
      </c>
      <c r="J9" s="30" t="s">
        <v>16</v>
      </c>
      <c r="K9" s="24"/>
      <c r="L9" s="24"/>
      <c r="M9" s="24"/>
      <c r="N9" s="24"/>
      <c r="O9" s="33" t="n">
        <f aca="false">O6-O8</f>
        <v>232.306666666671</v>
      </c>
      <c r="P9" s="33"/>
      <c r="Q9" s="33"/>
      <c r="T9" s="9" t="str">
        <f aca="false">FIXED(T8,0)</f>
        <v>69,768</v>
      </c>
    </row>
    <row r="10" s="1" customFormat="true" ht="20" hidden="false" customHeight="true" outlineLevel="0" collapsed="false">
      <c r="B10" s="26" t="s">
        <v>17</v>
      </c>
      <c r="C10" s="27" t="n">
        <v>5800</v>
      </c>
      <c r="D10" s="28" t="s">
        <v>10</v>
      </c>
      <c r="E10" s="16"/>
      <c r="F10" s="17"/>
      <c r="G10" s="34" t="s">
        <v>18</v>
      </c>
      <c r="H10" s="34"/>
      <c r="I10" s="22" t="n">
        <f aca="false">$T$7</f>
        <v>232.306666666664</v>
      </c>
      <c r="J10" s="26" t="s">
        <v>19</v>
      </c>
      <c r="K10" s="24"/>
      <c r="L10" s="24"/>
      <c r="M10" s="24"/>
      <c r="N10" s="24"/>
      <c r="O10" s="35" t="n">
        <f aca="false">O9-$T$6</f>
        <v>232.306666666671</v>
      </c>
      <c r="P10" s="35"/>
      <c r="Q10" s="35"/>
      <c r="T10" s="9" t="str">
        <f aca="false">"de "&amp;FIXED(O6,0)&amp;" DOP"</f>
        <v>de 70,000 DOP</v>
      </c>
    </row>
    <row r="11" s="1" customFormat="true" ht="20" hidden="false" customHeight="true" outlineLevel="0" collapsed="false">
      <c r="B11" s="36" t="s">
        <v>20</v>
      </c>
      <c r="C11" s="37" t="n">
        <f aca="false">C10*$T$3-$T$8</f>
        <v>267695.64</v>
      </c>
      <c r="D11" s="37"/>
      <c r="E11" s="16"/>
      <c r="F11" s="17"/>
      <c r="G11" s="17"/>
      <c r="H11" s="17"/>
      <c r="I11" s="18"/>
      <c r="J11" s="26" t="s">
        <v>21</v>
      </c>
      <c r="K11" s="24"/>
      <c r="L11" s="24"/>
      <c r="M11" s="24"/>
      <c r="N11" s="24"/>
      <c r="O11" s="35" t="n">
        <f aca="false">$T$8/$T$3</f>
        <v>1199.10100257806</v>
      </c>
      <c r="P11" s="35"/>
      <c r="Q11" s="35"/>
    </row>
    <row r="12" s="1" customFormat="true" ht="10" hidden="false" customHeight="true" outlineLevel="0" collapsed="false">
      <c r="B12" s="38"/>
      <c r="C12" s="39"/>
      <c r="D12" s="40"/>
      <c r="E12" s="38"/>
      <c r="F12" s="39"/>
      <c r="G12" s="39"/>
      <c r="H12" s="39"/>
      <c r="I12" s="40"/>
      <c r="J12" s="38"/>
      <c r="K12" s="39"/>
      <c r="L12" s="39"/>
      <c r="M12" s="39"/>
      <c r="N12" s="39"/>
      <c r="O12" s="39"/>
      <c r="P12" s="39"/>
      <c r="Q12" s="40"/>
    </row>
    <row r="13" s="1" customFormat="true" ht="10" hidden="false" customHeight="true" outlineLevel="0" collapsed="false"/>
    <row r="14" s="1" customFormat="true" ht="26" hidden="false" customHeight="true" outlineLevel="0" collapsed="false">
      <c r="B14" s="41" t="s">
        <v>22</v>
      </c>
      <c r="C14" s="11"/>
      <c r="D14" s="11"/>
      <c r="E14" s="11"/>
      <c r="F14" s="11"/>
      <c r="G14" s="11"/>
      <c r="H14" s="42" t="str">
        <f aca="false">COUNTIFS(Fijos_2026_08[Pagado],"Sí")&amp;" de "&amp;COUNTA(Fijos_2026_08[Concepto])&amp;" pagados · total "&amp;FIXED(SUM(Fijos_2026_08[DOP]),2)&amp;" DOP"</f>
        <v>11 de 11 pagados · total 41,917.69 DOP</v>
      </c>
      <c r="I14" s="42"/>
      <c r="J14" s="42"/>
      <c r="K14" s="42"/>
      <c r="M14" s="41" t="s">
        <v>23</v>
      </c>
      <c r="N14" s="11"/>
      <c r="O14" s="11"/>
      <c r="P14" s="11"/>
      <c r="Q14" s="42" t="s">
        <v>14</v>
      </c>
    </row>
    <row r="15" s="1" customFormat="true" ht="20" hidden="false" customHeight="false" outlineLevel="0" collapsed="false">
      <c r="B15" s="43" t="s">
        <v>24</v>
      </c>
      <c r="C15" s="44" t="s">
        <v>25</v>
      </c>
      <c r="D15" s="44" t="s">
        <v>26</v>
      </c>
      <c r="E15" s="45" t="s">
        <v>27</v>
      </c>
      <c r="F15" s="44" t="s">
        <v>28</v>
      </c>
      <c r="G15" s="45" t="s">
        <v>14</v>
      </c>
      <c r="H15" s="45" t="s">
        <v>10</v>
      </c>
      <c r="I15" s="17"/>
      <c r="J15" s="17"/>
      <c r="K15" s="18"/>
      <c r="M15" s="16" t="s">
        <v>29</v>
      </c>
      <c r="N15" s="16"/>
      <c r="O15" s="46" t="n">
        <f aca="false">Q15</f>
        <v>41917.6933333333</v>
      </c>
      <c r="P15" s="46"/>
      <c r="Q15" s="22" t="n">
        <f aca="false">$T$4</f>
        <v>41917.6933333333</v>
      </c>
    </row>
    <row r="16" s="1" customFormat="true" ht="20" hidden="false" customHeight="false" outlineLevel="0" collapsed="false">
      <c r="B16" s="47" t="s">
        <v>30</v>
      </c>
      <c r="C16" s="48" t="s">
        <v>31</v>
      </c>
      <c r="D16" s="49"/>
      <c r="E16" s="50" t="n">
        <v>1290.4</v>
      </c>
      <c r="F16" s="49" t="s">
        <v>14</v>
      </c>
      <c r="G16" s="51" t="n">
        <f aca="false">IF(Fijos_2026_08[[#This Row],[Monto]]="","",IF(Fijos_2026_08[[#This Row],[Moneda]]="USD",Fijos_2026_08[[#This Row],[Monto]]*$T$3,Fijos_2026_08[[#This Row],[Monto]]))</f>
        <v>1290.4</v>
      </c>
      <c r="H16" s="52" t="n">
        <f aca="false">IF(Fijos_2026_08[[#This Row],[DOP]]="","",Fijos_2026_08[[#This Row],[DOP]]/$T$3)</f>
        <v>22.178172443426</v>
      </c>
      <c r="I16" s="17"/>
      <c r="J16" s="17"/>
      <c r="K16" s="18"/>
      <c r="M16" s="16" t="s">
        <v>32</v>
      </c>
      <c r="N16" s="16"/>
      <c r="O16" s="46" t="n">
        <f aca="false">Q16</f>
        <v>4430</v>
      </c>
      <c r="P16" s="46"/>
      <c r="Q16" s="22" t="n">
        <f aca="false">SUMIFS(Tx_2026_08[DOP],Tx_2026_08[Categoría],M16)</f>
        <v>4430</v>
      </c>
    </row>
    <row r="17" s="1" customFormat="true" ht="20" hidden="false" customHeight="false" outlineLevel="0" collapsed="false">
      <c r="B17" s="47" t="s">
        <v>30</v>
      </c>
      <c r="C17" s="48" t="s">
        <v>33</v>
      </c>
      <c r="D17" s="49"/>
      <c r="E17" s="50" t="n">
        <v>2699</v>
      </c>
      <c r="F17" s="49" t="s">
        <v>14</v>
      </c>
      <c r="G17" s="51" t="n">
        <f aca="false">IF(Fijos_2026_08[[#This Row],[Monto]]="","",IF(Fijos_2026_08[[#This Row],[Moneda]]="USD",Fijos_2026_08[[#This Row],[Monto]]*$T$3,Fijos_2026_08[[#This Row],[Monto]]))</f>
        <v>2699</v>
      </c>
      <c r="H17" s="52" t="n">
        <f aca="false">IF(Fijos_2026_08[[#This Row],[DOP]]="","",Fijos_2026_08[[#This Row],[DOP]]/$T$3)</f>
        <v>46.3878544829562</v>
      </c>
      <c r="I17" s="17"/>
      <c r="J17" s="17"/>
      <c r="K17" s="18"/>
      <c r="M17" s="16" t="s">
        <v>34</v>
      </c>
      <c r="N17" s="16"/>
      <c r="O17" s="46" t="n">
        <f aca="false">Q17</f>
        <v>9910</v>
      </c>
      <c r="P17" s="46"/>
      <c r="Q17" s="22" t="n">
        <f aca="false">SUMIFS(Tx_2026_08[DOP],Tx_2026_08[Categoría],M17)</f>
        <v>9910</v>
      </c>
    </row>
    <row r="18" s="1" customFormat="true" ht="20" hidden="false" customHeight="false" outlineLevel="0" collapsed="false">
      <c r="B18" s="47" t="s">
        <v>30</v>
      </c>
      <c r="C18" s="48" t="s">
        <v>35</v>
      </c>
      <c r="D18" s="49"/>
      <c r="E18" s="50" t="n">
        <v>5640</v>
      </c>
      <c r="F18" s="49" t="s">
        <v>14</v>
      </c>
      <c r="G18" s="51" t="n">
        <f aca="false">IF(Fijos_2026_08[[#This Row],[Monto]]="","",IF(Fijos_2026_08[[#This Row],[Moneda]]="USD",Fijos_2026_08[[#This Row],[Monto]]*$T$3,Fijos_2026_08[[#This Row],[Monto]]))</f>
        <v>5640</v>
      </c>
      <c r="H18" s="52" t="n">
        <f aca="false">IF(Fijos_2026_08[[#This Row],[DOP]]="","",Fijos_2026_08[[#This Row],[DOP]]/$T$3)</f>
        <v>96.9349756516757</v>
      </c>
      <c r="I18" s="17"/>
      <c r="J18" s="17"/>
      <c r="K18" s="18"/>
      <c r="M18" s="16" t="s">
        <v>36</v>
      </c>
      <c r="N18" s="16"/>
      <c r="O18" s="46" t="n">
        <f aca="false">Q18</f>
        <v>4610</v>
      </c>
      <c r="P18" s="46"/>
      <c r="Q18" s="22" t="n">
        <f aca="false">SUMIFS(Tx_2026_08[DOP],Tx_2026_08[Categoría],M18)</f>
        <v>4610</v>
      </c>
    </row>
    <row r="19" s="1" customFormat="true" ht="20" hidden="false" customHeight="false" outlineLevel="0" collapsed="false">
      <c r="B19" s="47" t="s">
        <v>30</v>
      </c>
      <c r="C19" s="48" t="s">
        <v>37</v>
      </c>
      <c r="D19" s="49"/>
      <c r="E19" s="50" t="n">
        <v>15000</v>
      </c>
      <c r="F19" s="49" t="s">
        <v>14</v>
      </c>
      <c r="G19" s="51" t="n">
        <f aca="false">IF(Fijos_2026_08[[#This Row],[Monto]]="","",IF(Fijos_2026_08[[#This Row],[Moneda]]="USD",Fijos_2026_08[[#This Row],[Monto]]*$T$3,Fijos_2026_08[[#This Row],[Monto]]))</f>
        <v>15000</v>
      </c>
      <c r="H19" s="52" t="n">
        <f aca="false">IF(Fijos_2026_08[[#This Row],[DOP]]="","",Fijos_2026_08[[#This Row],[DOP]]/$T$3)</f>
        <v>257.805786307648</v>
      </c>
      <c r="I19" s="17"/>
      <c r="J19" s="17"/>
      <c r="K19" s="18"/>
      <c r="M19" s="16" t="s">
        <v>38</v>
      </c>
      <c r="N19" s="16"/>
      <c r="O19" s="46" t="n">
        <f aca="false">Q19</f>
        <v>2500</v>
      </c>
      <c r="P19" s="46"/>
      <c r="Q19" s="22" t="n">
        <f aca="false">SUMIFS(Tx_2026_08[DOP],Tx_2026_08[Categoría],M19)</f>
        <v>2500</v>
      </c>
    </row>
    <row r="20" s="1" customFormat="true" ht="20" hidden="false" customHeight="false" outlineLevel="0" collapsed="false">
      <c r="B20" s="47" t="s">
        <v>30</v>
      </c>
      <c r="C20" s="48" t="s">
        <v>39</v>
      </c>
      <c r="D20" s="49" t="n">
        <v>5</v>
      </c>
      <c r="E20" s="50" t="n">
        <v>106</v>
      </c>
      <c r="F20" s="49" t="s">
        <v>10</v>
      </c>
      <c r="G20" s="51" t="n">
        <f aca="false">IF(Fijos_2026_08[[#This Row],[Monto]]="","",IF(Fijos_2026_08[[#This Row],[Moneda]]="USD",Fijos_2026_08[[#This Row],[Monto]]*$T$3,Fijos_2026_08[[#This Row],[Monto]]))</f>
        <v>6167.43333333333</v>
      </c>
      <c r="H20" s="52" t="n">
        <f aca="false">IF(Fijos_2026_08[[#This Row],[DOP]]="","",Fijos_2026_08[[#This Row],[DOP]]/$T$3)</f>
        <v>106</v>
      </c>
      <c r="I20" s="17"/>
      <c r="J20" s="17"/>
      <c r="K20" s="18"/>
      <c r="M20" s="16" t="s">
        <v>40</v>
      </c>
      <c r="N20" s="16"/>
      <c r="O20" s="46" t="n">
        <f aca="false">Q20</f>
        <v>2500</v>
      </c>
      <c r="P20" s="46"/>
      <c r="Q20" s="22" t="n">
        <f aca="false">SUMIFS(Tx_2026_08[DOP],Tx_2026_08[Categoría],M20)</f>
        <v>2500</v>
      </c>
    </row>
    <row r="21" s="1" customFormat="true" ht="20" hidden="false" customHeight="false" outlineLevel="0" collapsed="false">
      <c r="B21" s="47" t="s">
        <v>30</v>
      </c>
      <c r="C21" s="48" t="s">
        <v>41</v>
      </c>
      <c r="D21" s="49" t="n">
        <v>16</v>
      </c>
      <c r="E21" s="50" t="n">
        <v>121.56</v>
      </c>
      <c r="F21" s="49" t="s">
        <v>14</v>
      </c>
      <c r="G21" s="51" t="n">
        <f aca="false">IF(Fijos_2026_08[[#This Row],[Monto]]="","",IF(Fijos_2026_08[[#This Row],[Moneda]]="USD",Fijos_2026_08[[#This Row],[Monto]]*$T$3,Fijos_2026_08[[#This Row],[Monto]]))</f>
        <v>121.56</v>
      </c>
      <c r="H21" s="52" t="n">
        <f aca="false">IF(Fijos_2026_08[[#This Row],[DOP]]="","",Fijos_2026_08[[#This Row],[DOP]]/$T$3)</f>
        <v>2.08925809223718</v>
      </c>
      <c r="I21" s="17"/>
      <c r="J21" s="17"/>
      <c r="K21" s="18"/>
      <c r="M21" s="16" t="s">
        <v>42</v>
      </c>
      <c r="N21" s="16"/>
      <c r="O21" s="46" t="n">
        <f aca="false">Q21</f>
        <v>3900</v>
      </c>
      <c r="P21" s="46"/>
      <c r="Q21" s="22" t="n">
        <f aca="false">SUMIFS(Tx_2026_08[DOP],Tx_2026_08[Categoría],M21)</f>
        <v>3900</v>
      </c>
    </row>
    <row r="22" s="1" customFormat="true" ht="20" hidden="false" customHeight="false" outlineLevel="0" collapsed="false">
      <c r="B22" s="47" t="s">
        <v>30</v>
      </c>
      <c r="C22" s="48" t="s">
        <v>43</v>
      </c>
      <c r="D22" s="49" t="n">
        <v>17</v>
      </c>
      <c r="E22" s="50" t="n">
        <v>604</v>
      </c>
      <c r="F22" s="49" t="s">
        <v>14</v>
      </c>
      <c r="G22" s="51" t="n">
        <f aca="false">IF(Fijos_2026_08[[#This Row],[Monto]]="","",IF(Fijos_2026_08[[#This Row],[Moneda]]="USD",Fijos_2026_08[[#This Row],[Monto]]*$T$3,Fijos_2026_08[[#This Row],[Monto]]))</f>
        <v>604</v>
      </c>
      <c r="H22" s="52" t="n">
        <f aca="false">IF(Fijos_2026_08[[#This Row],[DOP]]="","",Fijos_2026_08[[#This Row],[DOP]]/$T$3)</f>
        <v>10.380979661988</v>
      </c>
      <c r="I22" s="17"/>
      <c r="J22" s="17"/>
      <c r="K22" s="18"/>
      <c r="M22" s="16" t="s">
        <v>44</v>
      </c>
      <c r="N22" s="16"/>
      <c r="O22" s="46" t="n">
        <f aca="false">Q22</f>
        <v>0</v>
      </c>
      <c r="P22" s="46"/>
      <c r="Q22" s="22" t="n">
        <f aca="false">SUMIFS(Tx_2026_08[DOP],Tx_2026_08[Categoría],M22)</f>
        <v>0</v>
      </c>
    </row>
    <row r="23" s="1" customFormat="true" ht="20" hidden="false" customHeight="false" outlineLevel="0" collapsed="false">
      <c r="B23" s="47" t="s">
        <v>30</v>
      </c>
      <c r="C23" s="48" t="s">
        <v>45</v>
      </c>
      <c r="D23" s="49"/>
      <c r="E23" s="50" t="n">
        <v>308</v>
      </c>
      <c r="F23" s="49" t="s">
        <v>14</v>
      </c>
      <c r="G23" s="51" t="n">
        <f aca="false">IF(Fijos_2026_08[[#This Row],[Monto]]="","",IF(Fijos_2026_08[[#This Row],[Moneda]]="USD",Fijos_2026_08[[#This Row],[Monto]]*$T$3,Fijos_2026_08[[#This Row],[Monto]]))</f>
        <v>308</v>
      </c>
      <c r="H23" s="52" t="n">
        <f aca="false">IF(Fijos_2026_08[[#This Row],[DOP]]="","",Fijos_2026_08[[#This Row],[DOP]]/$T$3)</f>
        <v>5.29361214551704</v>
      </c>
      <c r="I23" s="17"/>
      <c r="J23" s="17"/>
      <c r="K23" s="18"/>
      <c r="M23" s="16" t="s">
        <v>46</v>
      </c>
      <c r="N23" s="16"/>
      <c r="O23" s="46" t="n">
        <f aca="false">Q23</f>
        <v>0</v>
      </c>
      <c r="P23" s="46"/>
      <c r="Q23" s="22" t="n">
        <f aca="false">SUMIFS(Tx_2026_08[DOP],Tx_2026_08[Categoría],M23)</f>
        <v>0</v>
      </c>
    </row>
    <row r="24" s="1" customFormat="true" ht="20" hidden="false" customHeight="false" outlineLevel="0" collapsed="false">
      <c r="B24" s="47" t="s">
        <v>30</v>
      </c>
      <c r="C24" s="48" t="s">
        <v>47</v>
      </c>
      <c r="D24" s="49" t="n">
        <v>17</v>
      </c>
      <c r="E24" s="50" t="n">
        <v>1550</v>
      </c>
      <c r="F24" s="49" t="s">
        <v>14</v>
      </c>
      <c r="G24" s="51" t="n">
        <f aca="false">IF(Fijos_2026_08[[#This Row],[Monto]]="","",IF(Fijos_2026_08[[#This Row],[Moneda]]="USD",Fijos_2026_08[[#This Row],[Monto]]*$T$3,Fijos_2026_08[[#This Row],[Monto]]))</f>
        <v>1550</v>
      </c>
      <c r="H24" s="52" t="n">
        <f aca="false">IF(Fijos_2026_08[[#This Row],[DOP]]="","",Fijos_2026_08[[#This Row],[DOP]]/$T$3)</f>
        <v>26.6399312517903</v>
      </c>
      <c r="I24" s="17"/>
      <c r="J24" s="17"/>
      <c r="K24" s="18"/>
      <c r="M24" s="16" t="s">
        <v>48</v>
      </c>
      <c r="N24" s="16"/>
      <c r="O24" s="46" t="n">
        <f aca="false">Q24</f>
        <v>0</v>
      </c>
      <c r="P24" s="46"/>
      <c r="Q24" s="22" t="n">
        <f aca="false">SUMIFS(Tx_2026_08[DOP],Tx_2026_08[Categoría],M24)</f>
        <v>0</v>
      </c>
    </row>
    <row r="25" s="1" customFormat="true" ht="20" hidden="false" customHeight="false" outlineLevel="0" collapsed="false">
      <c r="B25" s="47" t="s">
        <v>30</v>
      </c>
      <c r="C25" s="48" t="s">
        <v>49</v>
      </c>
      <c r="D25" s="49"/>
      <c r="E25" s="50" t="n">
        <v>1137.3</v>
      </c>
      <c r="F25" s="49" t="s">
        <v>14</v>
      </c>
      <c r="G25" s="51" t="n">
        <f aca="false">IF(Fijos_2026_08[[#This Row],[Monto]]="","",IF(Fijos_2026_08[[#This Row],[Moneda]]="USD",Fijos_2026_08[[#This Row],[Monto]]*$T$3,Fijos_2026_08[[#This Row],[Monto]]))</f>
        <v>1137.3</v>
      </c>
      <c r="H25" s="52" t="n">
        <f aca="false">IF(Fijos_2026_08[[#This Row],[DOP]]="","",Fijos_2026_08[[#This Row],[DOP]]/$T$3)</f>
        <v>19.5468347178459</v>
      </c>
      <c r="I25" s="17"/>
      <c r="J25" s="17"/>
      <c r="K25" s="18"/>
      <c r="M25" s="16" t="s">
        <v>50</v>
      </c>
      <c r="N25" s="16"/>
      <c r="O25" s="46" t="n">
        <f aca="false">Q25</f>
        <v>0</v>
      </c>
      <c r="P25" s="46"/>
      <c r="Q25" s="22" t="n">
        <f aca="false">SUMIFS(Tx_2026_08[DOP],Tx_2026_08[Categoría],M25)</f>
        <v>0</v>
      </c>
    </row>
    <row r="26" s="1" customFormat="true" ht="20" hidden="false" customHeight="false" outlineLevel="0" collapsed="false">
      <c r="B26" s="47" t="s">
        <v>30</v>
      </c>
      <c r="C26" s="48" t="s">
        <v>51</v>
      </c>
      <c r="D26" s="49"/>
      <c r="E26" s="50" t="n">
        <v>7400</v>
      </c>
      <c r="F26" s="49" t="s">
        <v>14</v>
      </c>
      <c r="G26" s="51" t="n">
        <f aca="false">IF(Fijos_2026_08[[#This Row],[Monto]]="","",IF(Fijos_2026_08[[#This Row],[Moneda]]="USD",Fijos_2026_08[[#This Row],[Monto]]*$T$3,Fijos_2026_08[[#This Row],[Monto]]))</f>
        <v>7400</v>
      </c>
      <c r="H26" s="52" t="n">
        <f aca="false">IF(Fijos_2026_08[[#This Row],[DOP]]="","",Fijos_2026_08[[#This Row],[DOP]]/$T$3)</f>
        <v>127.184187911773</v>
      </c>
      <c r="I26" s="17"/>
      <c r="J26" s="17"/>
      <c r="K26" s="18"/>
      <c r="M26" s="38"/>
      <c r="N26" s="39"/>
      <c r="O26" s="39"/>
      <c r="P26" s="39"/>
      <c r="Q26" s="40"/>
    </row>
    <row r="27" s="1" customFormat="true" ht="20" hidden="false" customHeight="false" outlineLevel="0" collapsed="false">
      <c r="B27" s="47"/>
      <c r="C27" s="48"/>
      <c r="D27" s="49"/>
      <c r="E27" s="50"/>
      <c r="F27" s="49"/>
      <c r="G27" s="51" t="str">
        <f aca="false">IF(Fijos_2026_08[[#This Row],[Monto]]="","",IF(Fijos_2026_08[[#This Row],[Moneda]]="USD",Fijos_2026_08[[#This Row],[Monto]]*$T$3,Fijos_2026_08[[#This Row],[Monto]]))</f>
        <v/>
      </c>
      <c r="H27" s="52" t="str">
        <f aca="false">IF(Fijos_2026_08[[#This Row],[DOP]]="","",Fijos_2026_08[[#This Row],[DOP]]/$T$3)</f>
        <v/>
      </c>
      <c r="I27" s="17"/>
      <c r="J27" s="17"/>
      <c r="K27" s="18"/>
    </row>
    <row r="28" s="1" customFormat="true" ht="20" hidden="false" customHeight="false" outlineLevel="0" collapsed="false">
      <c r="B28" s="47"/>
      <c r="C28" s="48"/>
      <c r="D28" s="49"/>
      <c r="E28" s="50"/>
      <c r="F28" s="49"/>
      <c r="G28" s="51" t="str">
        <f aca="false">IF(Fijos_2026_08[[#This Row],[Monto]]="","",IF(Fijos_2026_08[[#This Row],[Moneda]]="USD",Fijos_2026_08[[#This Row],[Monto]]*$T$3,Fijos_2026_08[[#This Row],[Monto]]))</f>
        <v/>
      </c>
      <c r="H28" s="52" t="str">
        <f aca="false">IF(Fijos_2026_08[[#This Row],[DOP]]="","",Fijos_2026_08[[#This Row],[DOP]]/$T$3)</f>
        <v/>
      </c>
      <c r="I28" s="17"/>
      <c r="J28" s="17"/>
      <c r="K28" s="18"/>
      <c r="M28" s="41" t="s">
        <v>52</v>
      </c>
      <c r="N28" s="11"/>
      <c r="O28" s="42" t="str">
        <f aca="false">"Promedio "&amp;FIXED($T$3,2)</f>
        <v>Promedio 58.18</v>
      </c>
      <c r="P28" s="42"/>
      <c r="Q28" s="42"/>
    </row>
    <row r="29" s="1" customFormat="true" ht="20" hidden="false" customHeight="false" outlineLevel="0" collapsed="false">
      <c r="B29" s="47"/>
      <c r="C29" s="48"/>
      <c r="D29" s="49"/>
      <c r="E29" s="50"/>
      <c r="F29" s="49"/>
      <c r="G29" s="51" t="str">
        <f aca="false">IF(Fijos_2026_08[[#This Row],[Monto]]="","",IF(Fijos_2026_08[[#This Row],[Moneda]]="USD",Fijos_2026_08[[#This Row],[Monto]]*$T$3,Fijos_2026_08[[#This Row],[Monto]]))</f>
        <v/>
      </c>
      <c r="H29" s="52" t="str">
        <f aca="false">IF(Fijos_2026_08[[#This Row],[DOP]]="","",Fijos_2026_08[[#This Row],[DOP]]/$T$3)</f>
        <v/>
      </c>
      <c r="I29" s="17"/>
      <c r="J29" s="17"/>
      <c r="K29" s="18"/>
      <c r="M29" s="43" t="s">
        <v>53</v>
      </c>
      <c r="N29" s="44" t="s">
        <v>54</v>
      </c>
      <c r="O29" s="45" t="s">
        <v>10</v>
      </c>
      <c r="P29" s="45" t="s">
        <v>55</v>
      </c>
      <c r="Q29" s="45" t="s">
        <v>14</v>
      </c>
    </row>
    <row r="30" s="1" customFormat="true" ht="20" hidden="false" customHeight="false" outlineLevel="0" collapsed="false">
      <c r="B30" s="47"/>
      <c r="C30" s="48"/>
      <c r="D30" s="49"/>
      <c r="E30" s="50"/>
      <c r="F30" s="49"/>
      <c r="G30" s="51" t="str">
        <f aca="false">IF(Fijos_2026_08[[#This Row],[Monto]]="","",IF(Fijos_2026_08[[#This Row],[Moneda]]="USD",Fijos_2026_08[[#This Row],[Monto]]*$T$3,Fijos_2026_08[[#This Row],[Monto]]))</f>
        <v/>
      </c>
      <c r="H30" s="52" t="str">
        <f aca="false">IF(Fijos_2026_08[[#This Row],[DOP]]="","",Fijos_2026_08[[#This Row],[DOP]]/$T$3)</f>
        <v/>
      </c>
      <c r="I30" s="17"/>
      <c r="J30" s="17"/>
      <c r="K30" s="18"/>
      <c r="M30" s="53" t="n">
        <v>46237</v>
      </c>
      <c r="N30" s="48" t="s">
        <v>56</v>
      </c>
      <c r="O30" s="50" t="n">
        <v>1500</v>
      </c>
      <c r="P30" s="54" t="n">
        <v>58.4</v>
      </c>
      <c r="Q30" s="50" t="n">
        <f aca="false">IF(Env_2026_08[[#This Row],[USD]]="","",Env_2026_08[[#This Row],[USD]]*Env_2026_08[[#This Row],[Tasa]])</f>
        <v>87600</v>
      </c>
    </row>
    <row r="31" s="1" customFormat="true" ht="6" hidden="false" customHeight="true" outlineLevel="0" collapsed="false">
      <c r="B31" s="38"/>
      <c r="C31" s="39"/>
      <c r="D31" s="39"/>
      <c r="E31" s="39"/>
      <c r="F31" s="39"/>
      <c r="G31" s="39"/>
      <c r="H31" s="39"/>
      <c r="I31" s="39"/>
      <c r="J31" s="39"/>
      <c r="K31" s="40"/>
      <c r="M31" s="53" t="n">
        <v>46252</v>
      </c>
      <c r="N31" s="48" t="s">
        <v>57</v>
      </c>
      <c r="O31" s="50" t="n">
        <v>300</v>
      </c>
      <c r="P31" s="54" t="n">
        <v>57.1</v>
      </c>
      <c r="Q31" s="50" t="n">
        <f aca="false">IF(Env_2026_08[[#This Row],[USD]]="","",Env_2026_08[[#This Row],[USD]]*Env_2026_08[[#This Row],[Tasa]])</f>
        <v>17130</v>
      </c>
    </row>
    <row r="32" s="1" customFormat="true" ht="20" hidden="false" customHeight="false" outlineLevel="0" collapsed="false">
      <c r="M32" s="53"/>
      <c r="N32" s="48"/>
      <c r="O32" s="50"/>
      <c r="P32" s="54"/>
      <c r="Q32" s="50" t="str">
        <f aca="false">IF(Env_2026_08[[#This Row],[USD]]="","",Env_2026_08[[#This Row],[USD]]*Env_2026_08[[#This Row],[Tasa]])</f>
        <v/>
      </c>
    </row>
    <row r="33" s="1" customFormat="true" ht="20" hidden="false" customHeight="false" outlineLevel="0" collapsed="false">
      <c r="M33" s="53"/>
      <c r="N33" s="48"/>
      <c r="O33" s="50"/>
      <c r="P33" s="54"/>
      <c r="Q33" s="50" t="str">
        <f aca="false">IF(Env_2026_08[[#This Row],[USD]]="","",Env_2026_08[[#This Row],[USD]]*Env_2026_08[[#This Row],[Tasa]])</f>
        <v/>
      </c>
    </row>
    <row r="34" s="1" customFormat="true" ht="20" hidden="false" customHeight="false" outlineLevel="0" collapsed="false">
      <c r="M34" s="53"/>
      <c r="N34" s="48"/>
      <c r="O34" s="50"/>
      <c r="P34" s="54"/>
      <c r="Q34" s="50" t="str">
        <f aca="false">IF(Env_2026_08[[#This Row],[USD]]="","",Env_2026_08[[#This Row],[USD]]*Env_2026_08[[#This Row],[Tasa]])</f>
        <v/>
      </c>
    </row>
    <row r="35" s="1" customFormat="true" ht="6" hidden="false" customHeight="true" outlineLevel="0" collapsed="false">
      <c r="M35" s="38"/>
      <c r="N35" s="39"/>
      <c r="O35" s="39"/>
      <c r="P35" s="39"/>
      <c r="Q35" s="40"/>
    </row>
    <row r="37" s="1" customFormat="true" ht="26" hidden="false" customHeight="true" outlineLevel="0" collapsed="false">
      <c r="B37" s="41" t="s">
        <v>58</v>
      </c>
      <c r="C37" s="11"/>
      <c r="D37" s="11"/>
      <c r="E37" s="11"/>
      <c r="F37" s="11"/>
      <c r="G37" s="11"/>
      <c r="H37" s="42" t="str">
        <f aca="false">COUNT(Tx_2026_08[Monto])&amp;" transacciones · total "&amp;FIXED($T$5,2)&amp;" DOP"</f>
        <v>10 transacciones · total 27,850.00 DOP</v>
      </c>
      <c r="I37" s="42"/>
      <c r="J37" s="42"/>
      <c r="K37" s="42"/>
    </row>
    <row r="38" s="1" customFormat="true" ht="20" hidden="false" customHeight="false" outlineLevel="0" collapsed="false">
      <c r="B38" s="43" t="s">
        <v>53</v>
      </c>
      <c r="C38" s="44" t="s">
        <v>59</v>
      </c>
      <c r="D38" s="44" t="s">
        <v>60</v>
      </c>
      <c r="E38" s="44" t="s">
        <v>61</v>
      </c>
      <c r="F38" s="44" t="s">
        <v>62</v>
      </c>
      <c r="G38" s="45" t="s">
        <v>27</v>
      </c>
      <c r="H38" s="44" t="s">
        <v>28</v>
      </c>
      <c r="I38" s="45" t="s">
        <v>14</v>
      </c>
      <c r="J38" s="45" t="s">
        <v>10</v>
      </c>
      <c r="K38" s="44" t="s">
        <v>63</v>
      </c>
    </row>
    <row r="39" s="1" customFormat="true" ht="20" hidden="false" customHeight="false" outlineLevel="0" collapsed="false">
      <c r="B39" s="53" t="n">
        <v>46236</v>
      </c>
      <c r="C39" s="48" t="s">
        <v>64</v>
      </c>
      <c r="D39" s="55" t="s">
        <v>65</v>
      </c>
      <c r="E39" s="48" t="s">
        <v>34</v>
      </c>
      <c r="F39" s="55" t="s">
        <v>66</v>
      </c>
      <c r="G39" s="50" t="n">
        <v>5230</v>
      </c>
      <c r="H39" s="49" t="s">
        <v>14</v>
      </c>
      <c r="I39" s="51" t="n">
        <f aca="false">IF(Tx_2026_08[[#This Row],[Monto]]="","",IF(Tx_2026_08[[#This Row],[Moneda]]="USD",Tx_2026_08[[#This Row],[Monto]]*$T$3,Tx_2026_08[[#This Row],[Monto]]))</f>
        <v>5230</v>
      </c>
      <c r="J39" s="52" t="n">
        <f aca="false">IF(Tx_2026_08[[#This Row],[DOP]]="","",Tx_2026_08[[#This Row],[DOP]]/$T$3)</f>
        <v>89.8882841592667</v>
      </c>
      <c r="K39" s="56"/>
    </row>
    <row r="40" s="1" customFormat="true" ht="20" hidden="false" customHeight="false" outlineLevel="0" collapsed="false">
      <c r="B40" s="53" t="n">
        <v>46238</v>
      </c>
      <c r="C40" s="48" t="s">
        <v>67</v>
      </c>
      <c r="D40" s="55" t="s">
        <v>67</v>
      </c>
      <c r="E40" s="48" t="s">
        <v>36</v>
      </c>
      <c r="F40" s="55" t="s">
        <v>66</v>
      </c>
      <c r="G40" s="50" t="n">
        <v>410</v>
      </c>
      <c r="H40" s="49" t="s">
        <v>14</v>
      </c>
      <c r="I40" s="51" t="n">
        <f aca="false">IF(Tx_2026_08[[#This Row],[Monto]]="","",IF(Tx_2026_08[[#This Row],[Moneda]]="USD",Tx_2026_08[[#This Row],[Monto]]*$T$3,Tx_2026_08[[#This Row],[Monto]]))</f>
        <v>410</v>
      </c>
      <c r="J40" s="52" t="n">
        <f aca="false">IF(Tx_2026_08[[#This Row],[DOP]]="","",Tx_2026_08[[#This Row],[DOP]]/$T$3)</f>
        <v>7.04669149240905</v>
      </c>
      <c r="K40" s="56"/>
    </row>
    <row r="41" s="1" customFormat="true" ht="20" hidden="false" customHeight="false" outlineLevel="0" collapsed="false">
      <c r="B41" s="53" t="n">
        <v>46240</v>
      </c>
      <c r="C41" s="48" t="s">
        <v>68</v>
      </c>
      <c r="D41" s="55" t="s">
        <v>69</v>
      </c>
      <c r="E41" s="48" t="s">
        <v>32</v>
      </c>
      <c r="F41" s="55" t="s">
        <v>66</v>
      </c>
      <c r="G41" s="50" t="n">
        <v>1280</v>
      </c>
      <c r="H41" s="49" t="s">
        <v>14</v>
      </c>
      <c r="I41" s="51" t="n">
        <f aca="false">IF(Tx_2026_08[[#This Row],[Monto]]="","",IF(Tx_2026_08[[#This Row],[Moneda]]="USD",Tx_2026_08[[#This Row],[Monto]]*$T$3,Tx_2026_08[[#This Row],[Monto]]))</f>
        <v>1280</v>
      </c>
      <c r="J41" s="52" t="n">
        <f aca="false">IF(Tx_2026_08[[#This Row],[DOP]]="","",Tx_2026_08[[#This Row],[DOP]]/$T$3)</f>
        <v>21.9994270982527</v>
      </c>
      <c r="K41" s="56"/>
    </row>
    <row r="42" s="1" customFormat="true" ht="20" hidden="false" customHeight="false" outlineLevel="0" collapsed="false">
      <c r="B42" s="53" t="n">
        <v>46243</v>
      </c>
      <c r="C42" s="48" t="s">
        <v>70</v>
      </c>
      <c r="D42" s="55" t="s">
        <v>71</v>
      </c>
      <c r="E42" s="48" t="s">
        <v>36</v>
      </c>
      <c r="F42" s="55" t="s">
        <v>66</v>
      </c>
      <c r="G42" s="50" t="n">
        <v>2200</v>
      </c>
      <c r="H42" s="49" t="s">
        <v>14</v>
      </c>
      <c r="I42" s="51" t="n">
        <f aca="false">IF(Tx_2026_08[[#This Row],[Monto]]="","",IF(Tx_2026_08[[#This Row],[Moneda]]="USD",Tx_2026_08[[#This Row],[Monto]]*$T$3,Tx_2026_08[[#This Row],[Monto]]))</f>
        <v>2200</v>
      </c>
      <c r="J42" s="52" t="n">
        <f aca="false">IF(Tx_2026_08[[#This Row],[DOP]]="","",Tx_2026_08[[#This Row],[DOP]]/$T$3)</f>
        <v>37.8115153251217</v>
      </c>
      <c r="K42" s="56"/>
    </row>
    <row r="43" s="1" customFormat="true" ht="20" hidden="false" customHeight="false" outlineLevel="0" collapsed="false">
      <c r="B43" s="53" t="n">
        <v>46246</v>
      </c>
      <c r="C43" s="48" t="s">
        <v>72</v>
      </c>
      <c r="D43" s="55" t="s">
        <v>73</v>
      </c>
      <c r="E43" s="48" t="s">
        <v>38</v>
      </c>
      <c r="F43" s="55" t="s">
        <v>74</v>
      </c>
      <c r="G43" s="50" t="n">
        <v>2500</v>
      </c>
      <c r="H43" s="49" t="s">
        <v>14</v>
      </c>
      <c r="I43" s="51" t="n">
        <f aca="false">IF(Tx_2026_08[[#This Row],[Monto]]="","",IF(Tx_2026_08[[#This Row],[Moneda]]="USD",Tx_2026_08[[#This Row],[Monto]]*$T$3,Tx_2026_08[[#This Row],[Monto]]))</f>
        <v>2500</v>
      </c>
      <c r="J43" s="52" t="n">
        <f aca="false">IF(Tx_2026_08[[#This Row],[DOP]]="","",Tx_2026_08[[#This Row],[DOP]]/$T$3)</f>
        <v>42.9676310512747</v>
      </c>
      <c r="K43" s="56"/>
    </row>
    <row r="44" s="1" customFormat="true" ht="20" hidden="false" customHeight="false" outlineLevel="0" collapsed="false">
      <c r="B44" s="53" t="n">
        <v>46249</v>
      </c>
      <c r="C44" s="48" t="s">
        <v>64</v>
      </c>
      <c r="D44" s="55" t="s">
        <v>75</v>
      </c>
      <c r="E44" s="48" t="s">
        <v>34</v>
      </c>
      <c r="F44" s="55" t="s">
        <v>66</v>
      </c>
      <c r="G44" s="50" t="n">
        <v>4680</v>
      </c>
      <c r="H44" s="49" t="s">
        <v>14</v>
      </c>
      <c r="I44" s="51" t="n">
        <f aca="false">IF(Tx_2026_08[[#This Row],[Monto]]="","",IF(Tx_2026_08[[#This Row],[Moneda]]="USD",Tx_2026_08[[#This Row],[Monto]]*$T$3,Tx_2026_08[[#This Row],[Monto]]))</f>
        <v>4680</v>
      </c>
      <c r="J44" s="52" t="n">
        <f aca="false">IF(Tx_2026_08[[#This Row],[DOP]]="","",Tx_2026_08[[#This Row],[DOP]]/$T$3)</f>
        <v>80.4354053279863</v>
      </c>
      <c r="K44" s="56"/>
    </row>
    <row r="45" s="1" customFormat="true" ht="20" hidden="false" customHeight="false" outlineLevel="0" collapsed="false">
      <c r="B45" s="53" t="n">
        <v>46252</v>
      </c>
      <c r="C45" s="48" t="s">
        <v>76</v>
      </c>
      <c r="D45" s="55" t="s">
        <v>77</v>
      </c>
      <c r="E45" s="48" t="s">
        <v>42</v>
      </c>
      <c r="F45" s="55" t="s">
        <v>66</v>
      </c>
      <c r="G45" s="50" t="n">
        <v>3900</v>
      </c>
      <c r="H45" s="49" t="s">
        <v>14</v>
      </c>
      <c r="I45" s="51" t="n">
        <f aca="false">IF(Tx_2026_08[[#This Row],[Monto]]="","",IF(Tx_2026_08[[#This Row],[Moneda]]="USD",Tx_2026_08[[#This Row],[Monto]]*$T$3,Tx_2026_08[[#This Row],[Monto]]))</f>
        <v>3900</v>
      </c>
      <c r="J45" s="52" t="n">
        <f aca="false">IF(Tx_2026_08[[#This Row],[DOP]]="","",Tx_2026_08[[#This Row],[DOP]]/$T$3)</f>
        <v>67.0295044399885</v>
      </c>
      <c r="K45" s="56"/>
    </row>
    <row r="46" s="1" customFormat="true" ht="20" hidden="false" customHeight="false" outlineLevel="0" collapsed="false">
      <c r="B46" s="53" t="n">
        <v>46255</v>
      </c>
      <c r="C46" s="48" t="s">
        <v>78</v>
      </c>
      <c r="D46" s="55" t="s">
        <v>79</v>
      </c>
      <c r="E46" s="48" t="s">
        <v>40</v>
      </c>
      <c r="F46" s="55" t="s">
        <v>80</v>
      </c>
      <c r="G46" s="50" t="n">
        <v>2500</v>
      </c>
      <c r="H46" s="49" t="s">
        <v>14</v>
      </c>
      <c r="I46" s="51" t="n">
        <f aca="false">IF(Tx_2026_08[[#This Row],[Monto]]="","",IF(Tx_2026_08[[#This Row],[Moneda]]="USD",Tx_2026_08[[#This Row],[Monto]]*$T$3,Tx_2026_08[[#This Row],[Monto]]))</f>
        <v>2500</v>
      </c>
      <c r="J46" s="52" t="n">
        <f aca="false">IF(Tx_2026_08[[#This Row],[DOP]]="","",Tx_2026_08[[#This Row],[DOP]]/$T$3)</f>
        <v>42.9676310512747</v>
      </c>
      <c r="K46" s="56" t="s">
        <v>81</v>
      </c>
    </row>
    <row r="47" s="1" customFormat="true" ht="20" hidden="false" customHeight="false" outlineLevel="0" collapsed="false">
      <c r="B47" s="53" t="n">
        <v>46258</v>
      </c>
      <c r="C47" s="48" t="s">
        <v>82</v>
      </c>
      <c r="D47" s="55" t="s">
        <v>83</v>
      </c>
      <c r="E47" s="48" t="s">
        <v>32</v>
      </c>
      <c r="F47" s="55" t="s">
        <v>66</v>
      </c>
      <c r="G47" s="50" t="n">
        <v>3150</v>
      </c>
      <c r="H47" s="49" t="s">
        <v>14</v>
      </c>
      <c r="I47" s="51" t="n">
        <f aca="false">IF(Tx_2026_08[[#This Row],[Monto]]="","",IF(Tx_2026_08[[#This Row],[Moneda]]="USD",Tx_2026_08[[#This Row],[Monto]]*$T$3,Tx_2026_08[[#This Row],[Monto]]))</f>
        <v>3150</v>
      </c>
      <c r="J47" s="52" t="n">
        <f aca="false">IF(Tx_2026_08[[#This Row],[DOP]]="","",Tx_2026_08[[#This Row],[DOP]]/$T$3)</f>
        <v>54.1392151246061</v>
      </c>
      <c r="K47" s="56"/>
    </row>
    <row r="48" s="1" customFormat="true" ht="20" hidden="false" customHeight="false" outlineLevel="0" collapsed="false">
      <c r="B48" s="53" t="n">
        <v>46263</v>
      </c>
      <c r="C48" s="48" t="s">
        <v>70</v>
      </c>
      <c r="D48" s="55" t="s">
        <v>84</v>
      </c>
      <c r="E48" s="48" t="s">
        <v>36</v>
      </c>
      <c r="F48" s="55" t="s">
        <v>66</v>
      </c>
      <c r="G48" s="50" t="n">
        <v>2000</v>
      </c>
      <c r="H48" s="49" t="s">
        <v>14</v>
      </c>
      <c r="I48" s="51" t="n">
        <f aca="false">IF(Tx_2026_08[[#This Row],[Monto]]="","",IF(Tx_2026_08[[#This Row],[Moneda]]="USD",Tx_2026_08[[#This Row],[Monto]]*$T$3,Tx_2026_08[[#This Row],[Monto]]))</f>
        <v>2000</v>
      </c>
      <c r="J48" s="52" t="n">
        <f aca="false">IF(Tx_2026_08[[#This Row],[DOP]]="","",Tx_2026_08[[#This Row],[DOP]]/$T$3)</f>
        <v>34.3741048410198</v>
      </c>
      <c r="K48" s="56"/>
    </row>
    <row r="49" s="1" customFormat="true" ht="20" hidden="false" customHeight="false" outlineLevel="0" collapsed="false">
      <c r="B49" s="53"/>
      <c r="C49" s="48"/>
      <c r="D49" s="55"/>
      <c r="E49" s="48"/>
      <c r="F49" s="55"/>
      <c r="G49" s="50"/>
      <c r="H49" s="49"/>
      <c r="I49" s="51" t="str">
        <f aca="false">IF(Tx_2026_08[[#This Row],[Monto]]="","",IF(Tx_2026_08[[#This Row],[Moneda]]="USD",Tx_2026_08[[#This Row],[Monto]]*$T$3,Tx_2026_08[[#This Row],[Monto]]))</f>
        <v/>
      </c>
      <c r="J49" s="52" t="str">
        <f aca="false">IF(Tx_2026_08[[#This Row],[DOP]]="","",Tx_2026_08[[#This Row],[DOP]]/$T$3)</f>
        <v/>
      </c>
      <c r="K49" s="56"/>
    </row>
    <row r="50" s="1" customFormat="true" ht="20" hidden="false" customHeight="false" outlineLevel="0" collapsed="false">
      <c r="B50" s="53"/>
      <c r="C50" s="48"/>
      <c r="D50" s="55"/>
      <c r="E50" s="48"/>
      <c r="F50" s="55"/>
      <c r="G50" s="50"/>
      <c r="H50" s="49"/>
      <c r="I50" s="51" t="str">
        <f aca="false">IF(Tx_2026_08[[#This Row],[Monto]]="","",IF(Tx_2026_08[[#This Row],[Moneda]]="USD",Tx_2026_08[[#This Row],[Monto]]*$T$3,Tx_2026_08[[#This Row],[Monto]]))</f>
        <v/>
      </c>
      <c r="J50" s="52" t="str">
        <f aca="false">IF(Tx_2026_08[[#This Row],[DOP]]="","",Tx_2026_08[[#This Row],[DOP]]/$T$3)</f>
        <v/>
      </c>
      <c r="K50" s="56"/>
    </row>
    <row r="51" s="1" customFormat="true" ht="20" hidden="false" customHeight="false" outlineLevel="0" collapsed="false">
      <c r="B51" s="53"/>
      <c r="C51" s="48"/>
      <c r="D51" s="55"/>
      <c r="E51" s="48"/>
      <c r="F51" s="55"/>
      <c r="G51" s="50"/>
      <c r="H51" s="49"/>
      <c r="I51" s="51" t="str">
        <f aca="false">IF(Tx_2026_08[[#This Row],[Monto]]="","",IF(Tx_2026_08[[#This Row],[Moneda]]="USD",Tx_2026_08[[#This Row],[Monto]]*$T$3,Tx_2026_08[[#This Row],[Monto]]))</f>
        <v/>
      </c>
      <c r="J51" s="52" t="str">
        <f aca="false">IF(Tx_2026_08[[#This Row],[DOP]]="","",Tx_2026_08[[#This Row],[DOP]]/$T$3)</f>
        <v/>
      </c>
      <c r="K51" s="56"/>
    </row>
    <row r="52" s="1" customFormat="true" ht="20" hidden="false" customHeight="false" outlineLevel="0" collapsed="false">
      <c r="B52" s="53"/>
      <c r="C52" s="48"/>
      <c r="D52" s="55"/>
      <c r="E52" s="48"/>
      <c r="F52" s="55"/>
      <c r="G52" s="50"/>
      <c r="H52" s="49"/>
      <c r="I52" s="51" t="str">
        <f aca="false">IF(Tx_2026_08[[#This Row],[Monto]]="","",IF(Tx_2026_08[[#This Row],[Moneda]]="USD",Tx_2026_08[[#This Row],[Monto]]*$T$3,Tx_2026_08[[#This Row],[Monto]]))</f>
        <v/>
      </c>
      <c r="J52" s="52" t="str">
        <f aca="false">IF(Tx_2026_08[[#This Row],[DOP]]="","",Tx_2026_08[[#This Row],[DOP]]/$T$3)</f>
        <v/>
      </c>
      <c r="K52" s="56"/>
    </row>
    <row r="53" s="1" customFormat="true" ht="20" hidden="false" customHeight="false" outlineLevel="0" collapsed="false">
      <c r="B53" s="53"/>
      <c r="C53" s="48"/>
      <c r="D53" s="55"/>
      <c r="E53" s="48"/>
      <c r="F53" s="55"/>
      <c r="G53" s="50"/>
      <c r="H53" s="49"/>
      <c r="I53" s="51" t="str">
        <f aca="false">IF(Tx_2026_08[[#This Row],[Monto]]="","",IF(Tx_2026_08[[#This Row],[Moneda]]="USD",Tx_2026_08[[#This Row],[Monto]]*$T$3,Tx_2026_08[[#This Row],[Monto]]))</f>
        <v/>
      </c>
      <c r="J53" s="52" t="str">
        <f aca="false">IF(Tx_2026_08[[#This Row],[DOP]]="","",Tx_2026_08[[#This Row],[DOP]]/$T$3)</f>
        <v/>
      </c>
      <c r="K53" s="56"/>
    </row>
    <row r="54" s="1" customFormat="true" ht="20" hidden="false" customHeight="false" outlineLevel="0" collapsed="false">
      <c r="B54" s="53"/>
      <c r="C54" s="48"/>
      <c r="D54" s="55"/>
      <c r="E54" s="48"/>
      <c r="F54" s="55"/>
      <c r="G54" s="50"/>
      <c r="H54" s="49"/>
      <c r="I54" s="51" t="str">
        <f aca="false">IF(Tx_2026_08[[#This Row],[Monto]]="","",IF(Tx_2026_08[[#This Row],[Moneda]]="USD",Tx_2026_08[[#This Row],[Monto]]*$T$3,Tx_2026_08[[#This Row],[Monto]]))</f>
        <v/>
      </c>
      <c r="J54" s="52" t="str">
        <f aca="false">IF(Tx_2026_08[[#This Row],[DOP]]="","",Tx_2026_08[[#This Row],[DOP]]/$T$3)</f>
        <v/>
      </c>
      <c r="K54" s="56"/>
    </row>
    <row r="55" s="1" customFormat="true" ht="20" hidden="false" customHeight="false" outlineLevel="0" collapsed="false">
      <c r="B55" s="53"/>
      <c r="C55" s="48"/>
      <c r="D55" s="55"/>
      <c r="E55" s="48"/>
      <c r="F55" s="55"/>
      <c r="G55" s="50"/>
      <c r="H55" s="49"/>
      <c r="I55" s="51" t="str">
        <f aca="false">IF(Tx_2026_08[[#This Row],[Monto]]="","",IF(Tx_2026_08[[#This Row],[Moneda]]="USD",Tx_2026_08[[#This Row],[Monto]]*$T$3,Tx_2026_08[[#This Row],[Monto]]))</f>
        <v/>
      </c>
      <c r="J55" s="52" t="str">
        <f aca="false">IF(Tx_2026_08[[#This Row],[DOP]]="","",Tx_2026_08[[#This Row],[DOP]]/$T$3)</f>
        <v/>
      </c>
      <c r="K55" s="56"/>
    </row>
    <row r="56" s="1" customFormat="true" ht="20" hidden="false" customHeight="false" outlineLevel="0" collapsed="false">
      <c r="B56" s="53"/>
      <c r="C56" s="48"/>
      <c r="D56" s="55"/>
      <c r="E56" s="48"/>
      <c r="F56" s="55"/>
      <c r="G56" s="50"/>
      <c r="H56" s="49"/>
      <c r="I56" s="51" t="str">
        <f aca="false">IF(Tx_2026_08[[#This Row],[Monto]]="","",IF(Tx_2026_08[[#This Row],[Moneda]]="USD",Tx_2026_08[[#This Row],[Monto]]*$T$3,Tx_2026_08[[#This Row],[Monto]]))</f>
        <v/>
      </c>
      <c r="J56" s="52" t="str">
        <f aca="false">IF(Tx_2026_08[[#This Row],[DOP]]="","",Tx_2026_08[[#This Row],[DOP]]/$T$3)</f>
        <v/>
      </c>
      <c r="K56" s="56"/>
    </row>
    <row r="57" s="1" customFormat="true" ht="20" hidden="false" customHeight="false" outlineLevel="0" collapsed="false">
      <c r="B57" s="53"/>
      <c r="C57" s="48"/>
      <c r="D57" s="55"/>
      <c r="E57" s="48"/>
      <c r="F57" s="55"/>
      <c r="G57" s="50"/>
      <c r="H57" s="49"/>
      <c r="I57" s="51" t="str">
        <f aca="false">IF(Tx_2026_08[[#This Row],[Monto]]="","",IF(Tx_2026_08[[#This Row],[Moneda]]="USD",Tx_2026_08[[#This Row],[Monto]]*$T$3,Tx_2026_08[[#This Row],[Monto]]))</f>
        <v/>
      </c>
      <c r="J57" s="52" t="str">
        <f aca="false">IF(Tx_2026_08[[#This Row],[DOP]]="","",Tx_2026_08[[#This Row],[DOP]]/$T$3)</f>
        <v/>
      </c>
      <c r="K57" s="56"/>
    </row>
    <row r="58" s="1" customFormat="true" ht="20" hidden="false" customHeight="false" outlineLevel="0" collapsed="false">
      <c r="B58" s="53"/>
      <c r="C58" s="48"/>
      <c r="D58" s="55"/>
      <c r="E58" s="48"/>
      <c r="F58" s="55"/>
      <c r="G58" s="50"/>
      <c r="H58" s="49"/>
      <c r="I58" s="51" t="str">
        <f aca="false">IF(Tx_2026_08[[#This Row],[Monto]]="","",IF(Tx_2026_08[[#This Row],[Moneda]]="USD",Tx_2026_08[[#This Row],[Monto]]*$T$3,Tx_2026_08[[#This Row],[Monto]]))</f>
        <v/>
      </c>
      <c r="J58" s="52" t="str">
        <f aca="false">IF(Tx_2026_08[[#This Row],[DOP]]="","",Tx_2026_08[[#This Row],[DOP]]/$T$3)</f>
        <v/>
      </c>
      <c r="K58" s="56"/>
    </row>
    <row r="59" s="1" customFormat="true" ht="20" hidden="false" customHeight="false" outlineLevel="0" collapsed="false">
      <c r="B59" s="53"/>
      <c r="C59" s="48"/>
      <c r="D59" s="55"/>
      <c r="E59" s="48"/>
      <c r="F59" s="55"/>
      <c r="G59" s="50"/>
      <c r="H59" s="49"/>
      <c r="I59" s="51" t="str">
        <f aca="false">IF(Tx_2026_08[[#This Row],[Monto]]="","",IF(Tx_2026_08[[#This Row],[Moneda]]="USD",Tx_2026_08[[#This Row],[Monto]]*$T$3,Tx_2026_08[[#This Row],[Monto]]))</f>
        <v/>
      </c>
      <c r="J59" s="52" t="str">
        <f aca="false">IF(Tx_2026_08[[#This Row],[DOP]]="","",Tx_2026_08[[#This Row],[DOP]]/$T$3)</f>
        <v/>
      </c>
      <c r="K59" s="56"/>
    </row>
    <row r="60" s="1" customFormat="true" ht="20" hidden="false" customHeight="false" outlineLevel="0" collapsed="false">
      <c r="B60" s="53"/>
      <c r="C60" s="48"/>
      <c r="D60" s="55"/>
      <c r="E60" s="48"/>
      <c r="F60" s="55"/>
      <c r="G60" s="50"/>
      <c r="H60" s="49"/>
      <c r="I60" s="51" t="str">
        <f aca="false">IF(Tx_2026_08[[#This Row],[Monto]]="","",IF(Tx_2026_08[[#This Row],[Moneda]]="USD",Tx_2026_08[[#This Row],[Monto]]*$T$3,Tx_2026_08[[#This Row],[Monto]]))</f>
        <v/>
      </c>
      <c r="J60" s="52" t="str">
        <f aca="false">IF(Tx_2026_08[[#This Row],[DOP]]="","",Tx_2026_08[[#This Row],[DOP]]/$T$3)</f>
        <v/>
      </c>
      <c r="K60" s="56"/>
    </row>
  </sheetData>
  <mergeCells count="38">
    <mergeCell ref="N1:Q1"/>
    <mergeCell ref="B5:D5"/>
    <mergeCell ref="B6:D6"/>
    <mergeCell ref="G6:H6"/>
    <mergeCell ref="O6:Q6"/>
    <mergeCell ref="G8:H8"/>
    <mergeCell ref="O8:Q8"/>
    <mergeCell ref="G9:H9"/>
    <mergeCell ref="O9:Q9"/>
    <mergeCell ref="G10:H10"/>
    <mergeCell ref="O10:Q10"/>
    <mergeCell ref="C11:D11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priority="2" operator="lessThan" aboveAverage="0" equalAverage="0" bottom="0" percent="0" rank="0" text="" dxfId="7">
      <formula>0</formula>
    </cfRule>
  </conditionalFormatting>
  <conditionalFormatting sqref="O9:O10">
    <cfRule type="cellIs" priority="3" operator="lessThan" aboveAverage="0" equalAverage="0" bottom="0" percent="0" rank="0" text="" dxfId="7">
      <formula>0</formula>
    </cfRule>
  </conditionalFormatting>
  <conditionalFormatting sqref="B16:B30">
    <cfRule type="cellIs" priority="4" operator="equal" aboveAverage="0" equalAverage="0" bottom="0" percent="0" rank="0" text="" dxfId="8">
      <formula>"Sí"</formula>
    </cfRule>
    <cfRule type="cellIs" priority="5" operator="equal" aboveAverage="0" equalAverage="0" bottom="0" percent="0" rank="0" text="" dxfId="9">
      <formula>"No"</formula>
    </cfRule>
  </conditionalFormatting>
  <conditionalFormatting sqref="O15:P15">
    <cfRule type="dataBar" priority="6">
      <dataBar showValue="0" minLength="10" maxLength="90">
        <cfvo type="num" val="0"/>
        <cfvo type="formula" val="MAX($Q$15:$Q$25)"/>
        <color rgb="FF2B3A33"/>
      </dataBar>
      <extLst>
        <ext xmlns:x14="http://schemas.microsoft.com/office/spreadsheetml/2009/9/main" uri="{B025F937-C7B1-47D3-B67F-A62EFF666E3E}">
          <x14:id>{F54948B3-8B1F-45BD-9AF1-902816AF9438}</x14:id>
        </ext>
      </extLst>
    </cfRule>
  </conditionalFormatting>
  <conditionalFormatting sqref="O16:P25">
    <cfRule type="dataBar" priority="7">
      <dataBar showValue="0" minLength="10" maxLength="90">
        <cfvo type="num" val="0"/>
        <cfvo type="formula" val="MAX($Q$15:$Q$25)"/>
        <color rgb="FF2F7D52"/>
      </dataBar>
      <extLst>
        <ext xmlns:x14="http://schemas.microsoft.com/office/spreadsheetml/2009/9/main" uri="{B025F937-C7B1-47D3-B67F-A62EFF666E3E}">
          <x14:id>{73C7963D-6048-47BA-A133-6DACF1B15185}</x14:id>
        </ext>
      </extLst>
    </cfRule>
  </conditionalFormatting>
  <dataValidations count="6">
    <dataValidation allowBlank="true" errorStyle="stop" operator="between" showDropDown="false" showErrorMessage="true" showInputMessage="false" sqref="B16:B30" type="list">
      <formula1>"Sí,No"</formula1>
      <formula2>0</formula2>
    </dataValidation>
    <dataValidation allowBlank="true" errorStyle="stop" operator="between" showDropDown="false" showErrorMessage="true" showInputMessage="false" sqref="F16:F30" type="list">
      <formula1>"DOP,USD"</formula1>
      <formula2>0</formula2>
    </dataValidation>
    <dataValidation allowBlank="true" errorStyle="stop" operator="between" showDropDown="false" showErrorMessage="true" showInputMessage="false" sqref="N30:N34" type="list">
      <formula1>"Remitly,PayPal"</formula1>
      <formula2>0</formula2>
    </dataValidation>
    <dataValidation allowBlank="true" errorStyle="stop" operator="between" showDropDown="false" showErrorMessage="true" showInputMessage="false" sqref="E39:E1060" type="list">
      <formula1>Config!$E$4:$E$13</formula1>
      <formula2>0</formula2>
    </dataValidation>
    <dataValidation allowBlank="true" errorStyle="stop" operator="between" showDropDown="false" showErrorMessage="true" showInputMessage="false" sqref="F39:F1060" type="list">
      <formula1>Config!$F$4:$F$6</formula1>
      <formula2>0</formula2>
    </dataValidation>
    <dataValidation allowBlank="true" errorStyle="stop" operator="between" showDropDown="false" showErrorMessage="true" showInputMessage="false" sqref="H39:H1060" type="list">
      <formula1>"DOP,USD"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4948B3-8B1F-45BD-9AF1-902816AF9438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B3A33"/>
              <x14:axisColor rgb="FF000000"/>
            </x14:dataBar>
          </x14:cfRule>
          <xm:sqref>O15:P15</xm:sqref>
        </x14:conditionalFormatting>
        <x14:conditionalFormatting xmlns:xm="http://schemas.microsoft.com/office/excel/2006/main">
          <x14:cfRule type="dataBar" id="{73C7963D-6048-47BA-A133-6DACF1B15185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F7D52"/>
              <x14:axisColor rgb="FF000000"/>
            </x14:dataBar>
          </x14:cfRule>
          <xm:sqref>O16:P25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D52"/>
    <pageSetUpPr fitToPage="false"/>
  </sheetPr>
  <dimension ref="A1:T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3"/>
    <col collapsed="false" customWidth="true" hidden="false" outlineLevel="0" max="13" min="13" style="1" width="11"/>
    <col collapsed="false" customWidth="true" hidden="false" outlineLevel="0" max="15" min="14" style="1" width="1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9" min="18" style="1" width="2"/>
    <col collapsed="false" customWidth="true" hidden="true" outlineLevel="0" max="20" min="20" style="1" width="14"/>
    <col collapsed="false" customWidth="true" hidden="false" outlineLevel="0" max="60" min="21" style="1" width="9"/>
  </cols>
  <sheetData>
    <row r="1" s="1" customFormat="true" ht="26" hidden="false" customHeight="true" outlineLevel="0" collapsed="false">
      <c r="A1" s="2"/>
      <c r="B1" s="3" t="s">
        <v>0</v>
      </c>
      <c r="C1" s="2"/>
      <c r="D1" s="4" t="s">
        <v>85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 t="str">
        <f aca="false">"1 USD = "&amp;FIXED($T$3,2)&amp;" DOP"</f>
        <v>1 USD = 58.57 DOP</v>
      </c>
      <c r="O1" s="6"/>
      <c r="P1" s="6"/>
      <c r="Q1" s="6"/>
      <c r="R1" s="2"/>
    </row>
    <row r="2" s="1" customFormat="true" ht="16" hidden="false" customHeight="true" outlineLevel="0" collapsed="false">
      <c r="B2" s="7" t="s">
        <v>3</v>
      </c>
      <c r="T2" s="8" t="s">
        <v>4</v>
      </c>
    </row>
    <row r="3" s="1" customFormat="true" ht="6" hidden="false" customHeight="true" outlineLevel="0" collapsed="false">
      <c r="T3" s="9" t="n">
        <f aca="false">IFERROR(SUMPRODUCT(Env_2026_09[USD],Env_2026_09[Tasa])/SUM(Env_2026_09[USD]),Config!$C$4)</f>
        <v>58.574347826087</v>
      </c>
    </row>
    <row r="4" s="1" customFormat="true" ht="18" hidden="false" customHeight="true" outlineLevel="0" collapsed="false">
      <c r="B4" s="10" t="s">
        <v>5</v>
      </c>
      <c r="C4" s="11"/>
      <c r="D4" s="12"/>
      <c r="E4" s="13"/>
      <c r="F4" s="11"/>
      <c r="G4" s="14" t="s">
        <v>6</v>
      </c>
      <c r="H4" s="11"/>
      <c r="I4" s="12"/>
      <c r="J4" s="10" t="str">
        <f aca="false">UPPER($D$1)</f>
        <v>SEPTIEMBRE 2026</v>
      </c>
      <c r="K4" s="11"/>
      <c r="L4" s="11"/>
      <c r="M4" s="11"/>
      <c r="N4" s="11"/>
      <c r="O4" s="11"/>
      <c r="P4" s="11"/>
      <c r="Q4" s="12"/>
      <c r="T4" s="9" t="n">
        <f aca="false">SUMIFS(Fijos_2026_09[DOP],Fijos_2026_09[Pagado],"Sí")</f>
        <v>42081.5408695652</v>
      </c>
    </row>
    <row r="5" s="1" customFormat="true" ht="28" hidden="false" customHeight="true" outlineLevel="0" collapsed="false">
      <c r="B5" s="15" t="n">
        <f aca="false">C8*$T$3+C9</f>
        <v>321654.826086957</v>
      </c>
      <c r="C5" s="15"/>
      <c r="D5" s="15"/>
      <c r="E5" s="16"/>
      <c r="F5" s="17"/>
      <c r="G5" s="17"/>
      <c r="H5" s="17"/>
      <c r="I5" s="18"/>
      <c r="J5" s="19" t="str">
        <f aca="false">FIXED(100*$T$8/MAX(1,O6),1)&amp;"% del presupuesto usado"</f>
        <v>95.2% del presupuesto usado</v>
      </c>
      <c r="K5" s="17"/>
      <c r="L5" s="17"/>
      <c r="M5" s="17"/>
      <c r="N5" s="17"/>
      <c r="O5" s="17"/>
      <c r="P5" s="17"/>
      <c r="Q5" s="18"/>
      <c r="T5" s="9" t="n">
        <f aca="false">SUM(Tx_2026_09[DOP])</f>
        <v>24555</v>
      </c>
    </row>
    <row r="6" s="1" customFormat="true" ht="18" hidden="false" customHeight="true" outlineLevel="0" collapsed="false">
      <c r="B6" s="20" t="n">
        <f aca="false">C8+C9/$T$3</f>
        <v>5491.39406625545</v>
      </c>
      <c r="C6" s="20"/>
      <c r="D6" s="20"/>
      <c r="E6" s="16"/>
      <c r="F6" s="17"/>
      <c r="G6" s="21" t="s">
        <v>7</v>
      </c>
      <c r="H6" s="21"/>
      <c r="I6" s="22" t="n">
        <f aca="false">$T$4</f>
        <v>42081.5408695652</v>
      </c>
      <c r="J6" s="23" t="s">
        <v>8</v>
      </c>
      <c r="K6" s="24"/>
      <c r="L6" s="24"/>
      <c r="M6" s="24"/>
      <c r="N6" s="24"/>
      <c r="O6" s="25" t="n">
        <v>70000</v>
      </c>
      <c r="P6" s="25"/>
      <c r="Q6" s="25"/>
      <c r="T6" s="9" t="n">
        <f aca="false">SUMIFS(Fijos_2026_09[DOP],Fijos_2026_09[Pagado],"No")</f>
        <v>0</v>
      </c>
    </row>
    <row r="7" s="1" customFormat="true" ht="10" hidden="false" customHeight="true" outlineLevel="0" collapsed="false">
      <c r="B7" s="16"/>
      <c r="C7" s="17"/>
      <c r="D7" s="18"/>
      <c r="E7" s="16"/>
      <c r="F7" s="17"/>
      <c r="G7" s="17"/>
      <c r="H7" s="17"/>
      <c r="I7" s="18"/>
      <c r="J7" s="16"/>
      <c r="K7" s="17"/>
      <c r="L7" s="17"/>
      <c r="M7" s="17"/>
      <c r="N7" s="17"/>
      <c r="O7" s="17"/>
      <c r="P7" s="17"/>
      <c r="Q7" s="18"/>
      <c r="T7" s="9" t="n">
        <f aca="false">MAX(0,O6-T4-T5-T6)</f>
        <v>3363.45913043479</v>
      </c>
    </row>
    <row r="8" s="1" customFormat="true" ht="20" hidden="false" customHeight="true" outlineLevel="0" collapsed="false">
      <c r="B8" s="26" t="s">
        <v>9</v>
      </c>
      <c r="C8" s="27" t="n">
        <v>4100</v>
      </c>
      <c r="D8" s="28" t="s">
        <v>10</v>
      </c>
      <c r="E8" s="16"/>
      <c r="F8" s="17"/>
      <c r="G8" s="29" t="s">
        <v>11</v>
      </c>
      <c r="H8" s="29"/>
      <c r="I8" s="22" t="n">
        <f aca="false">$T$5</f>
        <v>24555</v>
      </c>
      <c r="J8" s="30" t="s">
        <v>12</v>
      </c>
      <c r="K8" s="24"/>
      <c r="L8" s="24"/>
      <c r="M8" s="24"/>
      <c r="N8" s="24"/>
      <c r="O8" s="31" t="n">
        <f aca="false">$T$8</f>
        <v>66636.5408695652</v>
      </c>
      <c r="P8" s="31"/>
      <c r="Q8" s="31"/>
      <c r="T8" s="9" t="n">
        <f aca="false">T4+T5</f>
        <v>66636.5408695652</v>
      </c>
    </row>
    <row r="9" s="1" customFormat="true" ht="20" hidden="false" customHeight="true" outlineLevel="0" collapsed="false">
      <c r="B9" s="26" t="s">
        <v>13</v>
      </c>
      <c r="C9" s="27" t="n">
        <v>81500</v>
      </c>
      <c r="D9" s="28" t="s">
        <v>14</v>
      </c>
      <c r="E9" s="16"/>
      <c r="F9" s="17"/>
      <c r="G9" s="32" t="s">
        <v>15</v>
      </c>
      <c r="H9" s="32"/>
      <c r="I9" s="22" t="n">
        <f aca="false">$T$6</f>
        <v>0</v>
      </c>
      <c r="J9" s="30" t="s">
        <v>16</v>
      </c>
      <c r="K9" s="24"/>
      <c r="L9" s="24"/>
      <c r="M9" s="24"/>
      <c r="N9" s="24"/>
      <c r="O9" s="33" t="n">
        <f aca="false">O6-O8</f>
        <v>3363.45913043479</v>
      </c>
      <c r="P9" s="33"/>
      <c r="Q9" s="33"/>
      <c r="T9" s="9" t="str">
        <f aca="false">FIXED(T8,0)</f>
        <v>66,637</v>
      </c>
    </row>
    <row r="10" s="1" customFormat="true" ht="20" hidden="false" customHeight="true" outlineLevel="0" collapsed="false">
      <c r="B10" s="26" t="s">
        <v>17</v>
      </c>
      <c r="C10" s="27" t="n">
        <v>5800</v>
      </c>
      <c r="D10" s="28" t="s">
        <v>10</v>
      </c>
      <c r="E10" s="16"/>
      <c r="F10" s="17"/>
      <c r="G10" s="34" t="s">
        <v>18</v>
      </c>
      <c r="H10" s="34"/>
      <c r="I10" s="22" t="n">
        <f aca="false">$T$7</f>
        <v>3363.45913043479</v>
      </c>
      <c r="J10" s="26" t="s">
        <v>19</v>
      </c>
      <c r="K10" s="24"/>
      <c r="L10" s="24"/>
      <c r="M10" s="24"/>
      <c r="N10" s="24"/>
      <c r="O10" s="35" t="n">
        <f aca="false">O9-$T$6</f>
        <v>3363.45913043479</v>
      </c>
      <c r="P10" s="35"/>
      <c r="Q10" s="35"/>
      <c r="T10" s="9" t="str">
        <f aca="false">"de "&amp;FIXED(O6,0)&amp;" DOP"</f>
        <v>de 70,000 DOP</v>
      </c>
    </row>
    <row r="11" s="1" customFormat="true" ht="20" hidden="false" customHeight="true" outlineLevel="0" collapsed="false">
      <c r="B11" s="36" t="s">
        <v>20</v>
      </c>
      <c r="C11" s="37" t="n">
        <f aca="false">C10*$T$3-$T$8</f>
        <v>273094.676521739</v>
      </c>
      <c r="D11" s="37"/>
      <c r="E11" s="16"/>
      <c r="F11" s="17"/>
      <c r="G11" s="17"/>
      <c r="H11" s="17"/>
      <c r="I11" s="18"/>
      <c r="J11" s="26" t="s">
        <v>21</v>
      </c>
      <c r="K11" s="24"/>
      <c r="L11" s="24"/>
      <c r="M11" s="24"/>
      <c r="N11" s="24"/>
      <c r="O11" s="35" t="n">
        <f aca="false">$T$8/$T$3</f>
        <v>1137.64033818039</v>
      </c>
      <c r="P11" s="35"/>
      <c r="Q11" s="35"/>
    </row>
    <row r="12" s="1" customFormat="true" ht="10" hidden="false" customHeight="true" outlineLevel="0" collapsed="false">
      <c r="B12" s="38"/>
      <c r="C12" s="39"/>
      <c r="D12" s="40"/>
      <c r="E12" s="38"/>
      <c r="F12" s="39"/>
      <c r="G12" s="39"/>
      <c r="H12" s="39"/>
      <c r="I12" s="40"/>
      <c r="J12" s="38"/>
      <c r="K12" s="39"/>
      <c r="L12" s="39"/>
      <c r="M12" s="39"/>
      <c r="N12" s="39"/>
      <c r="O12" s="39"/>
      <c r="P12" s="39"/>
      <c r="Q12" s="40"/>
    </row>
    <row r="13" s="1" customFormat="true" ht="10" hidden="false" customHeight="true" outlineLevel="0" collapsed="false"/>
    <row r="14" s="1" customFormat="true" ht="26" hidden="false" customHeight="true" outlineLevel="0" collapsed="false">
      <c r="B14" s="41" t="s">
        <v>22</v>
      </c>
      <c r="C14" s="11"/>
      <c r="D14" s="11"/>
      <c r="E14" s="11"/>
      <c r="F14" s="11"/>
      <c r="G14" s="11"/>
      <c r="H14" s="42" t="str">
        <f aca="false">COUNTIFS(Fijos_2026_09[Pagado],"Sí")&amp;" de "&amp;COUNTA(Fijos_2026_09[Concepto])&amp;" pagados · total "&amp;FIXED(SUM(Fijos_2026_09[DOP]),2)&amp;" DOP"</f>
        <v>11 de 11 pagados · total 42,081.54 DOP</v>
      </c>
      <c r="I14" s="42"/>
      <c r="J14" s="42"/>
      <c r="K14" s="42"/>
      <c r="M14" s="41" t="s">
        <v>23</v>
      </c>
      <c r="N14" s="11"/>
      <c r="O14" s="11"/>
      <c r="P14" s="11"/>
      <c r="Q14" s="42" t="s">
        <v>14</v>
      </c>
    </row>
    <row r="15" s="1" customFormat="true" ht="20" hidden="false" customHeight="false" outlineLevel="0" collapsed="false">
      <c r="B15" s="43" t="s">
        <v>24</v>
      </c>
      <c r="C15" s="44" t="s">
        <v>25</v>
      </c>
      <c r="D15" s="44" t="s">
        <v>26</v>
      </c>
      <c r="E15" s="45" t="s">
        <v>27</v>
      </c>
      <c r="F15" s="44" t="s">
        <v>28</v>
      </c>
      <c r="G15" s="45" t="s">
        <v>14</v>
      </c>
      <c r="H15" s="45" t="s">
        <v>10</v>
      </c>
      <c r="I15" s="17"/>
      <c r="J15" s="17"/>
      <c r="K15" s="18"/>
      <c r="M15" s="16" t="s">
        <v>29</v>
      </c>
      <c r="N15" s="16"/>
      <c r="O15" s="46" t="n">
        <f aca="false">Q15</f>
        <v>42081.5408695652</v>
      </c>
      <c r="P15" s="46"/>
      <c r="Q15" s="22" t="n">
        <f aca="false">$T$4</f>
        <v>42081.5408695652</v>
      </c>
    </row>
    <row r="16" s="1" customFormat="true" ht="20" hidden="false" customHeight="false" outlineLevel="0" collapsed="false">
      <c r="B16" s="47" t="s">
        <v>30</v>
      </c>
      <c r="C16" s="48" t="s">
        <v>31</v>
      </c>
      <c r="D16" s="49"/>
      <c r="E16" s="50" t="n">
        <v>1412.8</v>
      </c>
      <c r="F16" s="49" t="s">
        <v>14</v>
      </c>
      <c r="G16" s="51" t="n">
        <f aca="false">IF(Fijos_2026_09[[#This Row],[Monto]]="","",IF(Fijos_2026_09[[#This Row],[Moneda]]="USD",Fijos_2026_09[[#This Row],[Monto]]*$T$3,Fijos_2026_09[[#This Row],[Monto]]))</f>
        <v>1412.8</v>
      </c>
      <c r="H16" s="52" t="n">
        <f aca="false">IF(Fijos_2026_09[[#This Row],[DOP]]="","",Fijos_2026_09[[#This Row],[DOP]]/$T$3)</f>
        <v>24.1197734577386</v>
      </c>
      <c r="I16" s="17"/>
      <c r="J16" s="17"/>
      <c r="K16" s="18"/>
      <c r="M16" s="16" t="s">
        <v>32</v>
      </c>
      <c r="N16" s="16"/>
      <c r="O16" s="46" t="n">
        <f aca="false">Q16</f>
        <v>1420</v>
      </c>
      <c r="P16" s="46"/>
      <c r="Q16" s="22" t="n">
        <f aca="false">SUMIFS(Tx_2026_09[DOP],Tx_2026_09[Categoría],M16)</f>
        <v>1420</v>
      </c>
    </row>
    <row r="17" s="1" customFormat="true" ht="20" hidden="false" customHeight="false" outlineLevel="0" collapsed="false">
      <c r="B17" s="47" t="s">
        <v>30</v>
      </c>
      <c r="C17" s="48" t="s">
        <v>33</v>
      </c>
      <c r="D17" s="49"/>
      <c r="E17" s="50" t="n">
        <v>2699</v>
      </c>
      <c r="F17" s="49" t="s">
        <v>14</v>
      </c>
      <c r="G17" s="51" t="n">
        <f aca="false">IF(Fijos_2026_09[[#This Row],[Monto]]="","",IF(Fijos_2026_09[[#This Row],[Moneda]]="USD",Fijos_2026_09[[#This Row],[Monto]]*$T$3,Fijos_2026_09[[#This Row],[Monto]]))</f>
        <v>2699</v>
      </c>
      <c r="H17" s="52" t="n">
        <f aca="false">IF(Fijos_2026_09[[#This Row],[DOP]]="","",Fijos_2026_09[[#This Row],[DOP]]/$T$3)</f>
        <v>46.0781912248276</v>
      </c>
      <c r="I17" s="17"/>
      <c r="J17" s="17"/>
      <c r="K17" s="18"/>
      <c r="M17" s="16" t="s">
        <v>34</v>
      </c>
      <c r="N17" s="16"/>
      <c r="O17" s="46" t="n">
        <f aca="false">Q17</f>
        <v>10295</v>
      </c>
      <c r="P17" s="46"/>
      <c r="Q17" s="22" t="n">
        <f aca="false">SUMIFS(Tx_2026_09[DOP],Tx_2026_09[Categoría],M17)</f>
        <v>10295</v>
      </c>
    </row>
    <row r="18" s="1" customFormat="true" ht="20" hidden="false" customHeight="false" outlineLevel="0" collapsed="false">
      <c r="B18" s="47" t="s">
        <v>30</v>
      </c>
      <c r="C18" s="48" t="s">
        <v>35</v>
      </c>
      <c r="D18" s="49"/>
      <c r="E18" s="50" t="n">
        <v>5640</v>
      </c>
      <c r="F18" s="49" t="s">
        <v>14</v>
      </c>
      <c r="G18" s="51" t="n">
        <f aca="false">IF(Fijos_2026_09[[#This Row],[Monto]]="","",IF(Fijos_2026_09[[#This Row],[Moneda]]="USD",Fijos_2026_09[[#This Row],[Monto]]*$T$3,Fijos_2026_09[[#This Row],[Monto]]))</f>
        <v>5640</v>
      </c>
      <c r="H18" s="52" t="n">
        <f aca="false">IF(Fijos_2026_09[[#This Row],[DOP]]="","",Fijos_2026_09[[#This Row],[DOP]]/$T$3)</f>
        <v>96.2878838488432</v>
      </c>
      <c r="I18" s="17"/>
      <c r="J18" s="17"/>
      <c r="K18" s="18"/>
      <c r="M18" s="16" t="s">
        <v>36</v>
      </c>
      <c r="N18" s="16"/>
      <c r="O18" s="46" t="n">
        <f aca="false">Q18</f>
        <v>4360</v>
      </c>
      <c r="P18" s="46"/>
      <c r="Q18" s="22" t="n">
        <f aca="false">SUMIFS(Tx_2026_09[DOP],Tx_2026_09[Categoría],M18)</f>
        <v>4360</v>
      </c>
    </row>
    <row r="19" s="1" customFormat="true" ht="20" hidden="false" customHeight="false" outlineLevel="0" collapsed="false">
      <c r="B19" s="47" t="s">
        <v>30</v>
      </c>
      <c r="C19" s="48" t="s">
        <v>37</v>
      </c>
      <c r="D19" s="49"/>
      <c r="E19" s="50" t="n">
        <v>15000</v>
      </c>
      <c r="F19" s="49" t="s">
        <v>14</v>
      </c>
      <c r="G19" s="51" t="n">
        <f aca="false">IF(Fijos_2026_09[[#This Row],[Monto]]="","",IF(Fijos_2026_09[[#This Row],[Moneda]]="USD",Fijos_2026_09[[#This Row],[Monto]]*$T$3,Fijos_2026_09[[#This Row],[Monto]]))</f>
        <v>15000</v>
      </c>
      <c r="H19" s="52" t="n">
        <f aca="false">IF(Fijos_2026_09[[#This Row],[DOP]]="","",Fijos_2026_09[[#This Row],[DOP]]/$T$3)</f>
        <v>256.084797470328</v>
      </c>
      <c r="I19" s="17"/>
      <c r="J19" s="17"/>
      <c r="K19" s="18"/>
      <c r="M19" s="16" t="s">
        <v>38</v>
      </c>
      <c r="N19" s="16"/>
      <c r="O19" s="46" t="n">
        <f aca="false">Q19</f>
        <v>850</v>
      </c>
      <c r="P19" s="46"/>
      <c r="Q19" s="22" t="n">
        <f aca="false">SUMIFS(Tx_2026_09[DOP],Tx_2026_09[Categoría],M19)</f>
        <v>850</v>
      </c>
    </row>
    <row r="20" s="1" customFormat="true" ht="20" hidden="false" customHeight="false" outlineLevel="0" collapsed="false">
      <c r="B20" s="47" t="s">
        <v>30</v>
      </c>
      <c r="C20" s="48" t="s">
        <v>39</v>
      </c>
      <c r="D20" s="49" t="n">
        <v>5</v>
      </c>
      <c r="E20" s="50" t="n">
        <v>106</v>
      </c>
      <c r="F20" s="49" t="s">
        <v>10</v>
      </c>
      <c r="G20" s="51" t="n">
        <f aca="false">IF(Fijos_2026_09[[#This Row],[Monto]]="","",IF(Fijos_2026_09[[#This Row],[Moneda]]="USD",Fijos_2026_09[[#This Row],[Monto]]*$T$3,Fijos_2026_09[[#This Row],[Monto]]))</f>
        <v>6208.88086956522</v>
      </c>
      <c r="H20" s="52" t="n">
        <f aca="false">IF(Fijos_2026_09[[#This Row],[DOP]]="","",Fijos_2026_09[[#This Row],[DOP]]/$T$3)</f>
        <v>106</v>
      </c>
      <c r="I20" s="17"/>
      <c r="J20" s="17"/>
      <c r="K20" s="18"/>
      <c r="M20" s="16" t="s">
        <v>40</v>
      </c>
      <c r="N20" s="16"/>
      <c r="O20" s="46" t="n">
        <f aca="false">Q20</f>
        <v>980</v>
      </c>
      <c r="P20" s="46"/>
      <c r="Q20" s="22" t="n">
        <f aca="false">SUMIFS(Tx_2026_09[DOP],Tx_2026_09[Categoría],M20)</f>
        <v>980</v>
      </c>
    </row>
    <row r="21" s="1" customFormat="true" ht="20" hidden="false" customHeight="false" outlineLevel="0" collapsed="false">
      <c r="B21" s="47" t="s">
        <v>30</v>
      </c>
      <c r="C21" s="48" t="s">
        <v>41</v>
      </c>
      <c r="D21" s="49" t="n">
        <v>16</v>
      </c>
      <c r="E21" s="50" t="n">
        <v>121.56</v>
      </c>
      <c r="F21" s="49" t="s">
        <v>14</v>
      </c>
      <c r="G21" s="51" t="n">
        <f aca="false">IF(Fijos_2026_09[[#This Row],[Monto]]="","",IF(Fijos_2026_09[[#This Row],[Moneda]]="USD",Fijos_2026_09[[#This Row],[Monto]]*$T$3,Fijos_2026_09[[#This Row],[Monto]]))</f>
        <v>121.56</v>
      </c>
      <c r="H21" s="52" t="n">
        <f aca="false">IF(Fijos_2026_09[[#This Row],[DOP]]="","",Fijos_2026_09[[#This Row],[DOP]]/$T$3)</f>
        <v>2.07531119869953</v>
      </c>
      <c r="I21" s="17"/>
      <c r="J21" s="17"/>
      <c r="K21" s="18"/>
      <c r="M21" s="16" t="s">
        <v>42</v>
      </c>
      <c r="N21" s="16"/>
      <c r="O21" s="46" t="n">
        <f aca="false">Q21</f>
        <v>0</v>
      </c>
      <c r="P21" s="46"/>
      <c r="Q21" s="22" t="n">
        <f aca="false">SUMIFS(Tx_2026_09[DOP],Tx_2026_09[Categoría],M21)</f>
        <v>0</v>
      </c>
    </row>
    <row r="22" s="1" customFormat="true" ht="20" hidden="false" customHeight="false" outlineLevel="0" collapsed="false">
      <c r="B22" s="47" t="s">
        <v>30</v>
      </c>
      <c r="C22" s="48" t="s">
        <v>43</v>
      </c>
      <c r="D22" s="49" t="n">
        <v>17</v>
      </c>
      <c r="E22" s="50" t="n">
        <v>604</v>
      </c>
      <c r="F22" s="49" t="s">
        <v>14</v>
      </c>
      <c r="G22" s="51" t="n">
        <f aca="false">IF(Fijos_2026_09[[#This Row],[Monto]]="","",IF(Fijos_2026_09[[#This Row],[Moneda]]="USD",Fijos_2026_09[[#This Row],[Monto]]*$T$3,Fijos_2026_09[[#This Row],[Monto]]))</f>
        <v>604</v>
      </c>
      <c r="H22" s="52" t="n">
        <f aca="false">IF(Fijos_2026_09[[#This Row],[DOP]]="","",Fijos_2026_09[[#This Row],[DOP]]/$T$3)</f>
        <v>10.3116811781385</v>
      </c>
      <c r="I22" s="17"/>
      <c r="J22" s="17"/>
      <c r="K22" s="18"/>
      <c r="M22" s="16" t="s">
        <v>44</v>
      </c>
      <c r="N22" s="16"/>
      <c r="O22" s="46" t="n">
        <f aca="false">Q22</f>
        <v>0</v>
      </c>
      <c r="P22" s="46"/>
      <c r="Q22" s="22" t="n">
        <f aca="false">SUMIFS(Tx_2026_09[DOP],Tx_2026_09[Categoría],M22)</f>
        <v>0</v>
      </c>
    </row>
    <row r="23" s="1" customFormat="true" ht="20" hidden="false" customHeight="false" outlineLevel="0" collapsed="false">
      <c r="B23" s="47" t="s">
        <v>30</v>
      </c>
      <c r="C23" s="48" t="s">
        <v>45</v>
      </c>
      <c r="D23" s="49"/>
      <c r="E23" s="50" t="n">
        <v>308</v>
      </c>
      <c r="F23" s="49" t="s">
        <v>14</v>
      </c>
      <c r="G23" s="51" t="n">
        <f aca="false">IF(Fijos_2026_09[[#This Row],[Monto]]="","",IF(Fijos_2026_09[[#This Row],[Moneda]]="USD",Fijos_2026_09[[#This Row],[Monto]]*$T$3,Fijos_2026_09[[#This Row],[Monto]]))</f>
        <v>308</v>
      </c>
      <c r="H23" s="52" t="n">
        <f aca="false">IF(Fijos_2026_09[[#This Row],[DOP]]="","",Fijos_2026_09[[#This Row],[DOP]]/$T$3)</f>
        <v>5.25827450805739</v>
      </c>
      <c r="I23" s="17"/>
      <c r="J23" s="17"/>
      <c r="K23" s="18"/>
      <c r="M23" s="16" t="s">
        <v>46</v>
      </c>
      <c r="N23" s="16"/>
      <c r="O23" s="46" t="n">
        <f aca="false">Q23</f>
        <v>0</v>
      </c>
      <c r="P23" s="46"/>
      <c r="Q23" s="22" t="n">
        <f aca="false">SUMIFS(Tx_2026_09[DOP],Tx_2026_09[Categoría],M23)</f>
        <v>0</v>
      </c>
    </row>
    <row r="24" s="1" customFormat="true" ht="20" hidden="false" customHeight="false" outlineLevel="0" collapsed="false">
      <c r="B24" s="47" t="s">
        <v>30</v>
      </c>
      <c r="C24" s="48" t="s">
        <v>47</v>
      </c>
      <c r="D24" s="49" t="n">
        <v>17</v>
      </c>
      <c r="E24" s="50" t="n">
        <v>1550</v>
      </c>
      <c r="F24" s="49" t="s">
        <v>14</v>
      </c>
      <c r="G24" s="51" t="n">
        <f aca="false">IF(Fijos_2026_09[[#This Row],[Monto]]="","",IF(Fijos_2026_09[[#This Row],[Moneda]]="USD",Fijos_2026_09[[#This Row],[Monto]]*$T$3,Fijos_2026_09[[#This Row],[Monto]]))</f>
        <v>1550</v>
      </c>
      <c r="H24" s="52" t="n">
        <f aca="false">IF(Fijos_2026_09[[#This Row],[DOP]]="","",Fijos_2026_09[[#This Row],[DOP]]/$T$3)</f>
        <v>26.4620957386005</v>
      </c>
      <c r="I24" s="17"/>
      <c r="J24" s="17"/>
      <c r="K24" s="18"/>
      <c r="M24" s="16" t="s">
        <v>48</v>
      </c>
      <c r="N24" s="16"/>
      <c r="O24" s="46" t="n">
        <f aca="false">Q24</f>
        <v>1850</v>
      </c>
      <c r="P24" s="46"/>
      <c r="Q24" s="22" t="n">
        <f aca="false">SUMIFS(Tx_2026_09[DOP],Tx_2026_09[Categoría],M24)</f>
        <v>1850</v>
      </c>
    </row>
    <row r="25" s="1" customFormat="true" ht="20" hidden="false" customHeight="false" outlineLevel="0" collapsed="false">
      <c r="B25" s="47" t="s">
        <v>30</v>
      </c>
      <c r="C25" s="48" t="s">
        <v>49</v>
      </c>
      <c r="D25" s="49"/>
      <c r="E25" s="50" t="n">
        <v>1137.3</v>
      </c>
      <c r="F25" s="49" t="s">
        <v>14</v>
      </c>
      <c r="G25" s="51" t="n">
        <f aca="false">IF(Fijos_2026_09[[#This Row],[Monto]]="","",IF(Fijos_2026_09[[#This Row],[Moneda]]="USD",Fijos_2026_09[[#This Row],[Monto]]*$T$3,Fijos_2026_09[[#This Row],[Monto]]))</f>
        <v>1137.3</v>
      </c>
      <c r="H25" s="52" t="n">
        <f aca="false">IF(Fijos_2026_09[[#This Row],[DOP]]="","",Fijos_2026_09[[#This Row],[DOP]]/$T$3)</f>
        <v>19.4163493442002</v>
      </c>
      <c r="I25" s="17"/>
      <c r="J25" s="17"/>
      <c r="K25" s="18"/>
      <c r="M25" s="16" t="s">
        <v>50</v>
      </c>
      <c r="N25" s="16"/>
      <c r="O25" s="46" t="n">
        <f aca="false">Q25</f>
        <v>4800</v>
      </c>
      <c r="P25" s="46"/>
      <c r="Q25" s="22" t="n">
        <f aca="false">SUMIFS(Tx_2026_09[DOP],Tx_2026_09[Categoría],M25)</f>
        <v>4800</v>
      </c>
    </row>
    <row r="26" s="1" customFormat="true" ht="20" hidden="false" customHeight="false" outlineLevel="0" collapsed="false">
      <c r="B26" s="47" t="s">
        <v>30</v>
      </c>
      <c r="C26" s="48" t="s">
        <v>51</v>
      </c>
      <c r="D26" s="49"/>
      <c r="E26" s="50" t="n">
        <v>7400</v>
      </c>
      <c r="F26" s="49" t="s">
        <v>14</v>
      </c>
      <c r="G26" s="51" t="n">
        <f aca="false">IF(Fijos_2026_09[[#This Row],[Monto]]="","",IF(Fijos_2026_09[[#This Row],[Moneda]]="USD",Fijos_2026_09[[#This Row],[Monto]]*$T$3,Fijos_2026_09[[#This Row],[Monto]]))</f>
        <v>7400</v>
      </c>
      <c r="H26" s="52" t="n">
        <f aca="false">IF(Fijos_2026_09[[#This Row],[DOP]]="","",Fijos_2026_09[[#This Row],[DOP]]/$T$3)</f>
        <v>126.335166752028</v>
      </c>
      <c r="I26" s="17"/>
      <c r="J26" s="17"/>
      <c r="K26" s="18"/>
      <c r="M26" s="38"/>
      <c r="N26" s="39"/>
      <c r="O26" s="39"/>
      <c r="P26" s="39"/>
      <c r="Q26" s="40"/>
    </row>
    <row r="27" s="1" customFormat="true" ht="20" hidden="false" customHeight="false" outlineLevel="0" collapsed="false">
      <c r="B27" s="47"/>
      <c r="C27" s="48"/>
      <c r="D27" s="49"/>
      <c r="E27" s="50"/>
      <c r="F27" s="49"/>
      <c r="G27" s="51" t="str">
        <f aca="false">IF(Fijos_2026_09[[#This Row],[Monto]]="","",IF(Fijos_2026_09[[#This Row],[Moneda]]="USD",Fijos_2026_09[[#This Row],[Monto]]*$T$3,Fijos_2026_09[[#This Row],[Monto]]))</f>
        <v/>
      </c>
      <c r="H27" s="52" t="str">
        <f aca="false">IF(Fijos_2026_09[[#This Row],[DOP]]="","",Fijos_2026_09[[#This Row],[DOP]]/$T$3)</f>
        <v/>
      </c>
      <c r="I27" s="17"/>
      <c r="J27" s="17"/>
      <c r="K27" s="18"/>
    </row>
    <row r="28" s="1" customFormat="true" ht="20" hidden="false" customHeight="false" outlineLevel="0" collapsed="false">
      <c r="B28" s="47"/>
      <c r="C28" s="48"/>
      <c r="D28" s="49"/>
      <c r="E28" s="50"/>
      <c r="F28" s="49"/>
      <c r="G28" s="51" t="str">
        <f aca="false">IF(Fijos_2026_09[[#This Row],[Monto]]="","",IF(Fijos_2026_09[[#This Row],[Moneda]]="USD",Fijos_2026_09[[#This Row],[Monto]]*$T$3,Fijos_2026_09[[#This Row],[Monto]]))</f>
        <v/>
      </c>
      <c r="H28" s="52" t="str">
        <f aca="false">IF(Fijos_2026_09[[#This Row],[DOP]]="","",Fijos_2026_09[[#This Row],[DOP]]/$T$3)</f>
        <v/>
      </c>
      <c r="I28" s="17"/>
      <c r="J28" s="17"/>
      <c r="K28" s="18"/>
      <c r="M28" s="41" t="s">
        <v>52</v>
      </c>
      <c r="N28" s="11"/>
      <c r="O28" s="42" t="str">
        <f aca="false">"Promedio "&amp;FIXED($T$3,2)</f>
        <v>Promedio 58.57</v>
      </c>
      <c r="P28" s="42"/>
      <c r="Q28" s="42"/>
    </row>
    <row r="29" s="1" customFormat="true" ht="20" hidden="false" customHeight="false" outlineLevel="0" collapsed="false">
      <c r="B29" s="47"/>
      <c r="C29" s="48"/>
      <c r="D29" s="49"/>
      <c r="E29" s="50"/>
      <c r="F29" s="49"/>
      <c r="G29" s="51" t="str">
        <f aca="false">IF(Fijos_2026_09[[#This Row],[Monto]]="","",IF(Fijos_2026_09[[#This Row],[Moneda]]="USD",Fijos_2026_09[[#This Row],[Monto]]*$T$3,Fijos_2026_09[[#This Row],[Monto]]))</f>
        <v/>
      </c>
      <c r="H29" s="52" t="str">
        <f aca="false">IF(Fijos_2026_09[[#This Row],[DOP]]="","",Fijos_2026_09[[#This Row],[DOP]]/$T$3)</f>
        <v/>
      </c>
      <c r="I29" s="17"/>
      <c r="J29" s="17"/>
      <c r="K29" s="18"/>
      <c r="M29" s="43" t="s">
        <v>53</v>
      </c>
      <c r="N29" s="44" t="s">
        <v>54</v>
      </c>
      <c r="O29" s="45" t="s">
        <v>10</v>
      </c>
      <c r="P29" s="45" t="s">
        <v>55</v>
      </c>
      <c r="Q29" s="45" t="s">
        <v>14</v>
      </c>
    </row>
    <row r="30" s="1" customFormat="true" ht="20" hidden="false" customHeight="false" outlineLevel="0" collapsed="false">
      <c r="B30" s="47"/>
      <c r="C30" s="48"/>
      <c r="D30" s="49"/>
      <c r="E30" s="50"/>
      <c r="F30" s="49"/>
      <c r="G30" s="51" t="str">
        <f aca="false">IF(Fijos_2026_09[[#This Row],[Monto]]="","",IF(Fijos_2026_09[[#This Row],[Moneda]]="USD",Fijos_2026_09[[#This Row],[Monto]]*$T$3,Fijos_2026_09[[#This Row],[Monto]]))</f>
        <v/>
      </c>
      <c r="H30" s="52" t="str">
        <f aca="false">IF(Fijos_2026_09[[#This Row],[DOP]]="","",Fijos_2026_09[[#This Row],[DOP]]/$T$3)</f>
        <v/>
      </c>
      <c r="I30" s="17"/>
      <c r="J30" s="17"/>
      <c r="K30" s="18"/>
      <c r="M30" s="53" t="n">
        <v>46267</v>
      </c>
      <c r="N30" s="48" t="s">
        <v>56</v>
      </c>
      <c r="O30" s="50" t="n">
        <v>1500</v>
      </c>
      <c r="P30" s="54" t="n">
        <v>58.55</v>
      </c>
      <c r="Q30" s="50" t="n">
        <f aca="false">IF(Env_2026_09[[#This Row],[USD]]="","",Env_2026_09[[#This Row],[USD]]*Env_2026_09[[#This Row],[Tasa]])</f>
        <v>87825</v>
      </c>
    </row>
    <row r="31" s="1" customFormat="true" ht="6" hidden="false" customHeight="true" outlineLevel="0" collapsed="false">
      <c r="B31" s="38"/>
      <c r="C31" s="39"/>
      <c r="D31" s="39"/>
      <c r="E31" s="39"/>
      <c r="F31" s="39"/>
      <c r="G31" s="39"/>
      <c r="H31" s="39"/>
      <c r="I31" s="39"/>
      <c r="J31" s="39"/>
      <c r="K31" s="40"/>
      <c r="M31" s="53" t="n">
        <v>46282</v>
      </c>
      <c r="N31" s="48" t="s">
        <v>56</v>
      </c>
      <c r="O31" s="50" t="n">
        <v>800</v>
      </c>
      <c r="P31" s="54" t="n">
        <v>58.62</v>
      </c>
      <c r="Q31" s="50" t="n">
        <f aca="false">IF(Env_2026_09[[#This Row],[USD]]="","",Env_2026_09[[#This Row],[USD]]*Env_2026_09[[#This Row],[Tasa]])</f>
        <v>46896</v>
      </c>
    </row>
    <row r="32" s="1" customFormat="true" ht="20" hidden="false" customHeight="false" outlineLevel="0" collapsed="false">
      <c r="M32" s="53"/>
      <c r="N32" s="48"/>
      <c r="O32" s="50"/>
      <c r="P32" s="54"/>
      <c r="Q32" s="50" t="str">
        <f aca="false">IF(Env_2026_09[[#This Row],[USD]]="","",Env_2026_09[[#This Row],[USD]]*Env_2026_09[[#This Row],[Tasa]])</f>
        <v/>
      </c>
    </row>
    <row r="33" s="1" customFormat="true" ht="20" hidden="false" customHeight="false" outlineLevel="0" collapsed="false">
      <c r="M33" s="53"/>
      <c r="N33" s="48"/>
      <c r="O33" s="50"/>
      <c r="P33" s="54"/>
      <c r="Q33" s="50" t="str">
        <f aca="false">IF(Env_2026_09[[#This Row],[USD]]="","",Env_2026_09[[#This Row],[USD]]*Env_2026_09[[#This Row],[Tasa]])</f>
        <v/>
      </c>
    </row>
    <row r="34" s="1" customFormat="true" ht="20" hidden="false" customHeight="false" outlineLevel="0" collapsed="false">
      <c r="M34" s="53"/>
      <c r="N34" s="48"/>
      <c r="O34" s="50"/>
      <c r="P34" s="54"/>
      <c r="Q34" s="50" t="str">
        <f aca="false">IF(Env_2026_09[[#This Row],[USD]]="","",Env_2026_09[[#This Row],[USD]]*Env_2026_09[[#This Row],[Tasa]])</f>
        <v/>
      </c>
    </row>
    <row r="35" s="1" customFormat="true" ht="6" hidden="false" customHeight="true" outlineLevel="0" collapsed="false">
      <c r="M35" s="38"/>
      <c r="N35" s="39"/>
      <c r="O35" s="39"/>
      <c r="P35" s="39"/>
      <c r="Q35" s="40"/>
    </row>
    <row r="37" s="1" customFormat="true" ht="26" hidden="false" customHeight="true" outlineLevel="0" collapsed="false">
      <c r="B37" s="41" t="s">
        <v>58</v>
      </c>
      <c r="C37" s="11"/>
      <c r="D37" s="11"/>
      <c r="E37" s="11"/>
      <c r="F37" s="11"/>
      <c r="G37" s="11"/>
      <c r="H37" s="42" t="str">
        <f aca="false">COUNT(Tx_2026_09[Monto])&amp;" transacciones · total "&amp;FIXED($T$5,2)&amp;" DOP"</f>
        <v>10 transacciones · total 24,555.00 DOP</v>
      </c>
      <c r="I37" s="42"/>
      <c r="J37" s="42"/>
      <c r="K37" s="42"/>
    </row>
    <row r="38" s="1" customFormat="true" ht="20" hidden="false" customHeight="false" outlineLevel="0" collapsed="false">
      <c r="B38" s="43" t="s">
        <v>53</v>
      </c>
      <c r="C38" s="44" t="s">
        <v>59</v>
      </c>
      <c r="D38" s="44" t="s">
        <v>60</v>
      </c>
      <c r="E38" s="44" t="s">
        <v>61</v>
      </c>
      <c r="F38" s="44" t="s">
        <v>62</v>
      </c>
      <c r="G38" s="45" t="s">
        <v>27</v>
      </c>
      <c r="H38" s="44" t="s">
        <v>28</v>
      </c>
      <c r="I38" s="45" t="s">
        <v>14</v>
      </c>
      <c r="J38" s="45" t="s">
        <v>10</v>
      </c>
      <c r="K38" s="44" t="s">
        <v>63</v>
      </c>
    </row>
    <row r="39" s="1" customFormat="true" ht="20" hidden="false" customHeight="false" outlineLevel="0" collapsed="false">
      <c r="B39" s="53" t="n">
        <v>46266</v>
      </c>
      <c r="C39" s="48" t="s">
        <v>64</v>
      </c>
      <c r="D39" s="55" t="s">
        <v>86</v>
      </c>
      <c r="E39" s="48" t="s">
        <v>34</v>
      </c>
      <c r="F39" s="55" t="s">
        <v>66</v>
      </c>
      <c r="G39" s="50" t="n">
        <v>4975</v>
      </c>
      <c r="H39" s="49" t="s">
        <v>14</v>
      </c>
      <c r="I39" s="51" t="n">
        <f aca="false">IF(Tx_2026_09[[#This Row],[Monto]]="","",IF(Tx_2026_09[[#This Row],[Moneda]]="USD",Tx_2026_09[[#This Row],[Monto]]*$T$3,Tx_2026_09[[#This Row],[Monto]]))</f>
        <v>4975</v>
      </c>
      <c r="J39" s="52" t="n">
        <f aca="false">IF(Tx_2026_09[[#This Row],[DOP]]="","",Tx_2026_09[[#This Row],[DOP]]/$T$3)</f>
        <v>84.934791160992</v>
      </c>
      <c r="K39" s="56"/>
    </row>
    <row r="40" s="1" customFormat="true" ht="20" hidden="false" customHeight="false" outlineLevel="0" collapsed="false">
      <c r="B40" s="53" t="n">
        <v>46268</v>
      </c>
      <c r="C40" s="48" t="s">
        <v>87</v>
      </c>
      <c r="D40" s="55" t="s">
        <v>88</v>
      </c>
      <c r="E40" s="48" t="s">
        <v>48</v>
      </c>
      <c r="F40" s="55" t="s">
        <v>66</v>
      </c>
      <c r="G40" s="50" t="n">
        <v>1850</v>
      </c>
      <c r="H40" s="49" t="s">
        <v>14</v>
      </c>
      <c r="I40" s="51" t="n">
        <f aca="false">IF(Tx_2026_09[[#This Row],[Monto]]="","",IF(Tx_2026_09[[#This Row],[Moneda]]="USD",Tx_2026_09[[#This Row],[Monto]]*$T$3,Tx_2026_09[[#This Row],[Monto]]))</f>
        <v>1850</v>
      </c>
      <c r="J40" s="52" t="n">
        <f aca="false">IF(Tx_2026_09[[#This Row],[DOP]]="","",Tx_2026_09[[#This Row],[DOP]]/$T$3)</f>
        <v>31.5837916880071</v>
      </c>
      <c r="K40" s="56"/>
    </row>
    <row r="41" s="1" customFormat="true" ht="20" hidden="false" customHeight="false" outlineLevel="0" collapsed="false">
      <c r="B41" s="53" t="n">
        <v>46270</v>
      </c>
      <c r="C41" s="48" t="s">
        <v>67</v>
      </c>
      <c r="D41" s="55" t="s">
        <v>67</v>
      </c>
      <c r="E41" s="48" t="s">
        <v>36</v>
      </c>
      <c r="F41" s="55" t="s">
        <v>66</v>
      </c>
      <c r="G41" s="50" t="n">
        <v>360</v>
      </c>
      <c r="H41" s="49" t="s">
        <v>14</v>
      </c>
      <c r="I41" s="51" t="n">
        <f aca="false">IF(Tx_2026_09[[#This Row],[Monto]]="","",IF(Tx_2026_09[[#This Row],[Moneda]]="USD",Tx_2026_09[[#This Row],[Monto]]*$T$3,Tx_2026_09[[#This Row],[Monto]]))</f>
        <v>360</v>
      </c>
      <c r="J41" s="52" t="n">
        <f aca="false">IF(Tx_2026_09[[#This Row],[DOP]]="","",Tx_2026_09[[#This Row],[DOP]]/$T$3)</f>
        <v>6.14603513928786</v>
      </c>
      <c r="K41" s="56"/>
    </row>
    <row r="42" s="1" customFormat="true" ht="20" hidden="false" customHeight="false" outlineLevel="0" collapsed="false">
      <c r="B42" s="53" t="n">
        <v>46273</v>
      </c>
      <c r="C42" s="48" t="s">
        <v>68</v>
      </c>
      <c r="D42" s="55" t="s">
        <v>89</v>
      </c>
      <c r="E42" s="48" t="s">
        <v>32</v>
      </c>
      <c r="F42" s="55" t="s">
        <v>66</v>
      </c>
      <c r="G42" s="50" t="n">
        <v>1420</v>
      </c>
      <c r="H42" s="49" t="s">
        <v>14</v>
      </c>
      <c r="I42" s="51" t="n">
        <f aca="false">IF(Tx_2026_09[[#This Row],[Monto]]="","",IF(Tx_2026_09[[#This Row],[Moneda]]="USD",Tx_2026_09[[#This Row],[Monto]]*$T$3,Tx_2026_09[[#This Row],[Monto]]))</f>
        <v>1420</v>
      </c>
      <c r="J42" s="52" t="n">
        <f aca="false">IF(Tx_2026_09[[#This Row],[DOP]]="","",Tx_2026_09[[#This Row],[DOP]]/$T$3)</f>
        <v>24.2426941605243</v>
      </c>
      <c r="K42" s="56"/>
    </row>
    <row r="43" s="1" customFormat="true" ht="20" hidden="false" customHeight="false" outlineLevel="0" collapsed="false">
      <c r="B43" s="53" t="n">
        <v>46276</v>
      </c>
      <c r="C43" s="48" t="s">
        <v>70</v>
      </c>
      <c r="D43" s="55" t="s">
        <v>90</v>
      </c>
      <c r="E43" s="48" t="s">
        <v>36</v>
      </c>
      <c r="F43" s="55" t="s">
        <v>66</v>
      </c>
      <c r="G43" s="50" t="n">
        <v>2100</v>
      </c>
      <c r="H43" s="49" t="s">
        <v>14</v>
      </c>
      <c r="I43" s="51" t="n">
        <f aca="false">IF(Tx_2026_09[[#This Row],[Monto]]="","",IF(Tx_2026_09[[#This Row],[Moneda]]="USD",Tx_2026_09[[#This Row],[Monto]]*$T$3,Tx_2026_09[[#This Row],[Monto]]))</f>
        <v>2100</v>
      </c>
      <c r="J43" s="52" t="n">
        <f aca="false">IF(Tx_2026_09[[#This Row],[DOP]]="","",Tx_2026_09[[#This Row],[DOP]]/$T$3)</f>
        <v>35.8518716458459</v>
      </c>
      <c r="K43" s="56"/>
    </row>
    <row r="44" s="1" customFormat="true" ht="20" hidden="false" customHeight="false" outlineLevel="0" collapsed="false">
      <c r="B44" s="53" t="n">
        <v>46279</v>
      </c>
      <c r="C44" s="48" t="s">
        <v>91</v>
      </c>
      <c r="D44" s="55" t="s">
        <v>92</v>
      </c>
      <c r="E44" s="48" t="s">
        <v>38</v>
      </c>
      <c r="F44" s="55" t="s">
        <v>74</v>
      </c>
      <c r="G44" s="50" t="n">
        <v>850</v>
      </c>
      <c r="H44" s="49" t="s">
        <v>14</v>
      </c>
      <c r="I44" s="51" t="n">
        <f aca="false">IF(Tx_2026_09[[#This Row],[Monto]]="","",IF(Tx_2026_09[[#This Row],[Moneda]]="USD",Tx_2026_09[[#This Row],[Monto]]*$T$3,Tx_2026_09[[#This Row],[Monto]]))</f>
        <v>850</v>
      </c>
      <c r="J44" s="52" t="n">
        <f aca="false">IF(Tx_2026_09[[#This Row],[DOP]]="","",Tx_2026_09[[#This Row],[DOP]]/$T$3)</f>
        <v>14.5114718566519</v>
      </c>
      <c r="K44" s="56"/>
    </row>
    <row r="45" s="1" customFormat="true" ht="20" hidden="false" customHeight="false" outlineLevel="0" collapsed="false">
      <c r="B45" s="53" t="n">
        <v>46281</v>
      </c>
      <c r="C45" s="48" t="s">
        <v>64</v>
      </c>
      <c r="D45" s="55" t="s">
        <v>75</v>
      </c>
      <c r="E45" s="48" t="s">
        <v>34</v>
      </c>
      <c r="F45" s="55" t="s">
        <v>66</v>
      </c>
      <c r="G45" s="50" t="n">
        <v>5320</v>
      </c>
      <c r="H45" s="49" t="s">
        <v>14</v>
      </c>
      <c r="I45" s="51" t="n">
        <f aca="false">IF(Tx_2026_09[[#This Row],[Monto]]="","",IF(Tx_2026_09[[#This Row],[Moneda]]="USD",Tx_2026_09[[#This Row],[Monto]]*$T$3,Tx_2026_09[[#This Row],[Monto]]))</f>
        <v>5320</v>
      </c>
      <c r="J45" s="52" t="n">
        <f aca="false">IF(Tx_2026_09[[#This Row],[DOP]]="","",Tx_2026_09[[#This Row],[DOP]]/$T$3)</f>
        <v>90.8247415028095</v>
      </c>
      <c r="K45" s="56"/>
    </row>
    <row r="46" s="1" customFormat="true" ht="20" hidden="false" customHeight="false" outlineLevel="0" collapsed="false">
      <c r="B46" s="53" t="n">
        <v>46284</v>
      </c>
      <c r="C46" s="48" t="s">
        <v>93</v>
      </c>
      <c r="D46" s="55" t="s">
        <v>94</v>
      </c>
      <c r="E46" s="48" t="s">
        <v>40</v>
      </c>
      <c r="F46" s="55" t="s">
        <v>66</v>
      </c>
      <c r="G46" s="50" t="n">
        <v>980</v>
      </c>
      <c r="H46" s="49" t="s">
        <v>14</v>
      </c>
      <c r="I46" s="51" t="n">
        <f aca="false">IF(Tx_2026_09[[#This Row],[Monto]]="","",IF(Tx_2026_09[[#This Row],[Moneda]]="USD",Tx_2026_09[[#This Row],[Monto]]*$T$3,Tx_2026_09[[#This Row],[Monto]]))</f>
        <v>980</v>
      </c>
      <c r="J46" s="52" t="n">
        <f aca="false">IF(Tx_2026_09[[#This Row],[DOP]]="","",Tx_2026_09[[#This Row],[DOP]]/$T$3)</f>
        <v>16.7308734347281</v>
      </c>
      <c r="K46" s="56"/>
    </row>
    <row r="47" s="1" customFormat="true" ht="20" hidden="false" customHeight="false" outlineLevel="0" collapsed="false">
      <c r="B47" s="53" t="n">
        <v>46288</v>
      </c>
      <c r="C47" s="48" t="s">
        <v>95</v>
      </c>
      <c r="D47" s="55" t="s">
        <v>96</v>
      </c>
      <c r="E47" s="48" t="s">
        <v>50</v>
      </c>
      <c r="F47" s="55" t="s">
        <v>66</v>
      </c>
      <c r="G47" s="50" t="n">
        <v>4800</v>
      </c>
      <c r="H47" s="49" t="s">
        <v>14</v>
      </c>
      <c r="I47" s="51" t="n">
        <f aca="false">IF(Tx_2026_09[[#This Row],[Monto]]="","",IF(Tx_2026_09[[#This Row],[Moneda]]="USD",Tx_2026_09[[#This Row],[Monto]]*$T$3,Tx_2026_09[[#This Row],[Monto]]))</f>
        <v>4800</v>
      </c>
      <c r="J47" s="52" t="n">
        <f aca="false">IF(Tx_2026_09[[#This Row],[DOP]]="","",Tx_2026_09[[#This Row],[DOP]]/$T$3)</f>
        <v>81.9471351905048</v>
      </c>
      <c r="K47" s="56" t="s">
        <v>97</v>
      </c>
    </row>
    <row r="48" s="1" customFormat="true" ht="20" hidden="false" customHeight="false" outlineLevel="0" collapsed="false">
      <c r="B48" s="53" t="n">
        <v>46293</v>
      </c>
      <c r="C48" s="48" t="s">
        <v>70</v>
      </c>
      <c r="D48" s="55" t="s">
        <v>84</v>
      </c>
      <c r="E48" s="48" t="s">
        <v>36</v>
      </c>
      <c r="F48" s="55" t="s">
        <v>66</v>
      </c>
      <c r="G48" s="50" t="n">
        <v>1900</v>
      </c>
      <c r="H48" s="49" t="s">
        <v>14</v>
      </c>
      <c r="I48" s="51" t="n">
        <f aca="false">IF(Tx_2026_09[[#This Row],[Monto]]="","",IF(Tx_2026_09[[#This Row],[Moneda]]="USD",Tx_2026_09[[#This Row],[Monto]]*$T$3,Tx_2026_09[[#This Row],[Monto]]))</f>
        <v>1900</v>
      </c>
      <c r="J48" s="52" t="n">
        <f aca="false">IF(Tx_2026_09[[#This Row],[DOP]]="","",Tx_2026_09[[#This Row],[DOP]]/$T$3)</f>
        <v>32.4374076795748</v>
      </c>
      <c r="K48" s="56"/>
    </row>
    <row r="49" s="1" customFormat="true" ht="20" hidden="false" customHeight="false" outlineLevel="0" collapsed="false">
      <c r="B49" s="53"/>
      <c r="C49" s="48"/>
      <c r="D49" s="55"/>
      <c r="E49" s="48"/>
      <c r="F49" s="55"/>
      <c r="G49" s="50"/>
      <c r="H49" s="49"/>
      <c r="I49" s="51" t="str">
        <f aca="false">IF(Tx_2026_09[[#This Row],[Monto]]="","",IF(Tx_2026_09[[#This Row],[Moneda]]="USD",Tx_2026_09[[#This Row],[Monto]]*$T$3,Tx_2026_09[[#This Row],[Monto]]))</f>
        <v/>
      </c>
      <c r="J49" s="52" t="str">
        <f aca="false">IF(Tx_2026_09[[#This Row],[DOP]]="","",Tx_2026_09[[#This Row],[DOP]]/$T$3)</f>
        <v/>
      </c>
      <c r="K49" s="56"/>
    </row>
    <row r="50" s="1" customFormat="true" ht="20" hidden="false" customHeight="false" outlineLevel="0" collapsed="false">
      <c r="B50" s="53"/>
      <c r="C50" s="48"/>
      <c r="D50" s="55"/>
      <c r="E50" s="48"/>
      <c r="F50" s="55"/>
      <c r="G50" s="50"/>
      <c r="H50" s="49"/>
      <c r="I50" s="51" t="str">
        <f aca="false">IF(Tx_2026_09[[#This Row],[Monto]]="","",IF(Tx_2026_09[[#This Row],[Moneda]]="USD",Tx_2026_09[[#This Row],[Monto]]*$T$3,Tx_2026_09[[#This Row],[Monto]]))</f>
        <v/>
      </c>
      <c r="J50" s="52" t="str">
        <f aca="false">IF(Tx_2026_09[[#This Row],[DOP]]="","",Tx_2026_09[[#This Row],[DOP]]/$T$3)</f>
        <v/>
      </c>
      <c r="K50" s="56"/>
    </row>
    <row r="51" s="1" customFormat="true" ht="20" hidden="false" customHeight="false" outlineLevel="0" collapsed="false">
      <c r="B51" s="53"/>
      <c r="C51" s="48"/>
      <c r="D51" s="55"/>
      <c r="E51" s="48"/>
      <c r="F51" s="55"/>
      <c r="G51" s="50"/>
      <c r="H51" s="49"/>
      <c r="I51" s="51" t="str">
        <f aca="false">IF(Tx_2026_09[[#This Row],[Monto]]="","",IF(Tx_2026_09[[#This Row],[Moneda]]="USD",Tx_2026_09[[#This Row],[Monto]]*$T$3,Tx_2026_09[[#This Row],[Monto]]))</f>
        <v/>
      </c>
      <c r="J51" s="52" t="str">
        <f aca="false">IF(Tx_2026_09[[#This Row],[DOP]]="","",Tx_2026_09[[#This Row],[DOP]]/$T$3)</f>
        <v/>
      </c>
      <c r="K51" s="56"/>
    </row>
    <row r="52" s="1" customFormat="true" ht="20" hidden="false" customHeight="false" outlineLevel="0" collapsed="false">
      <c r="B52" s="53"/>
      <c r="C52" s="48"/>
      <c r="D52" s="55"/>
      <c r="E52" s="48"/>
      <c r="F52" s="55"/>
      <c r="G52" s="50"/>
      <c r="H52" s="49"/>
      <c r="I52" s="51" t="str">
        <f aca="false">IF(Tx_2026_09[[#This Row],[Monto]]="","",IF(Tx_2026_09[[#This Row],[Moneda]]="USD",Tx_2026_09[[#This Row],[Monto]]*$T$3,Tx_2026_09[[#This Row],[Monto]]))</f>
        <v/>
      </c>
      <c r="J52" s="52" t="str">
        <f aca="false">IF(Tx_2026_09[[#This Row],[DOP]]="","",Tx_2026_09[[#This Row],[DOP]]/$T$3)</f>
        <v/>
      </c>
      <c r="K52" s="56"/>
    </row>
    <row r="53" s="1" customFormat="true" ht="20" hidden="false" customHeight="false" outlineLevel="0" collapsed="false">
      <c r="B53" s="53"/>
      <c r="C53" s="48"/>
      <c r="D53" s="55"/>
      <c r="E53" s="48"/>
      <c r="F53" s="55"/>
      <c r="G53" s="50"/>
      <c r="H53" s="49"/>
      <c r="I53" s="51" t="str">
        <f aca="false">IF(Tx_2026_09[[#This Row],[Monto]]="","",IF(Tx_2026_09[[#This Row],[Moneda]]="USD",Tx_2026_09[[#This Row],[Monto]]*$T$3,Tx_2026_09[[#This Row],[Monto]]))</f>
        <v/>
      </c>
      <c r="J53" s="52" t="str">
        <f aca="false">IF(Tx_2026_09[[#This Row],[DOP]]="","",Tx_2026_09[[#This Row],[DOP]]/$T$3)</f>
        <v/>
      </c>
      <c r="K53" s="56"/>
    </row>
    <row r="54" s="1" customFormat="true" ht="20" hidden="false" customHeight="false" outlineLevel="0" collapsed="false">
      <c r="B54" s="53"/>
      <c r="C54" s="48"/>
      <c r="D54" s="55"/>
      <c r="E54" s="48"/>
      <c r="F54" s="55"/>
      <c r="G54" s="50"/>
      <c r="H54" s="49"/>
      <c r="I54" s="51" t="str">
        <f aca="false">IF(Tx_2026_09[[#This Row],[Monto]]="","",IF(Tx_2026_09[[#This Row],[Moneda]]="USD",Tx_2026_09[[#This Row],[Monto]]*$T$3,Tx_2026_09[[#This Row],[Monto]]))</f>
        <v/>
      </c>
      <c r="J54" s="52" t="str">
        <f aca="false">IF(Tx_2026_09[[#This Row],[DOP]]="","",Tx_2026_09[[#This Row],[DOP]]/$T$3)</f>
        <v/>
      </c>
      <c r="K54" s="56"/>
    </row>
    <row r="55" s="1" customFormat="true" ht="20" hidden="false" customHeight="false" outlineLevel="0" collapsed="false">
      <c r="B55" s="53"/>
      <c r="C55" s="48"/>
      <c r="D55" s="55"/>
      <c r="E55" s="48"/>
      <c r="F55" s="55"/>
      <c r="G55" s="50"/>
      <c r="H55" s="49"/>
      <c r="I55" s="51" t="str">
        <f aca="false">IF(Tx_2026_09[[#This Row],[Monto]]="","",IF(Tx_2026_09[[#This Row],[Moneda]]="USD",Tx_2026_09[[#This Row],[Monto]]*$T$3,Tx_2026_09[[#This Row],[Monto]]))</f>
        <v/>
      </c>
      <c r="J55" s="52" t="str">
        <f aca="false">IF(Tx_2026_09[[#This Row],[DOP]]="","",Tx_2026_09[[#This Row],[DOP]]/$T$3)</f>
        <v/>
      </c>
      <c r="K55" s="56"/>
    </row>
    <row r="56" s="1" customFormat="true" ht="20" hidden="false" customHeight="false" outlineLevel="0" collapsed="false">
      <c r="B56" s="53"/>
      <c r="C56" s="48"/>
      <c r="D56" s="55"/>
      <c r="E56" s="48"/>
      <c r="F56" s="55"/>
      <c r="G56" s="50"/>
      <c r="H56" s="49"/>
      <c r="I56" s="51" t="str">
        <f aca="false">IF(Tx_2026_09[[#This Row],[Monto]]="","",IF(Tx_2026_09[[#This Row],[Moneda]]="USD",Tx_2026_09[[#This Row],[Monto]]*$T$3,Tx_2026_09[[#This Row],[Monto]]))</f>
        <v/>
      </c>
      <c r="J56" s="52" t="str">
        <f aca="false">IF(Tx_2026_09[[#This Row],[DOP]]="","",Tx_2026_09[[#This Row],[DOP]]/$T$3)</f>
        <v/>
      </c>
      <c r="K56" s="56"/>
    </row>
    <row r="57" s="1" customFormat="true" ht="20" hidden="false" customHeight="false" outlineLevel="0" collapsed="false">
      <c r="B57" s="53"/>
      <c r="C57" s="48"/>
      <c r="D57" s="55"/>
      <c r="E57" s="48"/>
      <c r="F57" s="55"/>
      <c r="G57" s="50"/>
      <c r="H57" s="49"/>
      <c r="I57" s="51" t="str">
        <f aca="false">IF(Tx_2026_09[[#This Row],[Monto]]="","",IF(Tx_2026_09[[#This Row],[Moneda]]="USD",Tx_2026_09[[#This Row],[Monto]]*$T$3,Tx_2026_09[[#This Row],[Monto]]))</f>
        <v/>
      </c>
      <c r="J57" s="52" t="str">
        <f aca="false">IF(Tx_2026_09[[#This Row],[DOP]]="","",Tx_2026_09[[#This Row],[DOP]]/$T$3)</f>
        <v/>
      </c>
      <c r="K57" s="56"/>
    </row>
    <row r="58" s="1" customFormat="true" ht="20" hidden="false" customHeight="false" outlineLevel="0" collapsed="false">
      <c r="B58" s="53"/>
      <c r="C58" s="48"/>
      <c r="D58" s="55"/>
      <c r="E58" s="48"/>
      <c r="F58" s="55"/>
      <c r="G58" s="50"/>
      <c r="H58" s="49"/>
      <c r="I58" s="51" t="str">
        <f aca="false">IF(Tx_2026_09[[#This Row],[Monto]]="","",IF(Tx_2026_09[[#This Row],[Moneda]]="USD",Tx_2026_09[[#This Row],[Monto]]*$T$3,Tx_2026_09[[#This Row],[Monto]]))</f>
        <v/>
      </c>
      <c r="J58" s="52" t="str">
        <f aca="false">IF(Tx_2026_09[[#This Row],[DOP]]="","",Tx_2026_09[[#This Row],[DOP]]/$T$3)</f>
        <v/>
      </c>
      <c r="K58" s="56"/>
    </row>
    <row r="59" s="1" customFormat="true" ht="20" hidden="false" customHeight="false" outlineLevel="0" collapsed="false">
      <c r="B59" s="53"/>
      <c r="C59" s="48"/>
      <c r="D59" s="55"/>
      <c r="E59" s="48"/>
      <c r="F59" s="55"/>
      <c r="G59" s="50"/>
      <c r="H59" s="49"/>
      <c r="I59" s="51" t="str">
        <f aca="false">IF(Tx_2026_09[[#This Row],[Monto]]="","",IF(Tx_2026_09[[#This Row],[Moneda]]="USD",Tx_2026_09[[#This Row],[Monto]]*$T$3,Tx_2026_09[[#This Row],[Monto]]))</f>
        <v/>
      </c>
      <c r="J59" s="52" t="str">
        <f aca="false">IF(Tx_2026_09[[#This Row],[DOP]]="","",Tx_2026_09[[#This Row],[DOP]]/$T$3)</f>
        <v/>
      </c>
      <c r="K59" s="56"/>
    </row>
    <row r="60" s="1" customFormat="true" ht="20" hidden="false" customHeight="false" outlineLevel="0" collapsed="false">
      <c r="B60" s="53"/>
      <c r="C60" s="48"/>
      <c r="D60" s="55"/>
      <c r="E60" s="48"/>
      <c r="F60" s="55"/>
      <c r="G60" s="50"/>
      <c r="H60" s="49"/>
      <c r="I60" s="51" t="str">
        <f aca="false">IF(Tx_2026_09[[#This Row],[Monto]]="","",IF(Tx_2026_09[[#This Row],[Moneda]]="USD",Tx_2026_09[[#This Row],[Monto]]*$T$3,Tx_2026_09[[#This Row],[Monto]]))</f>
        <v/>
      </c>
      <c r="J60" s="52" t="str">
        <f aca="false">IF(Tx_2026_09[[#This Row],[DOP]]="","",Tx_2026_09[[#This Row],[DOP]]/$T$3)</f>
        <v/>
      </c>
      <c r="K60" s="56"/>
    </row>
  </sheetData>
  <mergeCells count="38">
    <mergeCell ref="N1:Q1"/>
    <mergeCell ref="B5:D5"/>
    <mergeCell ref="B6:D6"/>
    <mergeCell ref="G6:H6"/>
    <mergeCell ref="O6:Q6"/>
    <mergeCell ref="G8:H8"/>
    <mergeCell ref="O8:Q8"/>
    <mergeCell ref="G9:H9"/>
    <mergeCell ref="O9:Q9"/>
    <mergeCell ref="G10:H10"/>
    <mergeCell ref="O10:Q10"/>
    <mergeCell ref="C11:D11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priority="2" operator="lessThan" aboveAverage="0" equalAverage="0" bottom="0" percent="0" rank="0" text="" dxfId="7">
      <formula>0</formula>
    </cfRule>
  </conditionalFormatting>
  <conditionalFormatting sqref="O9:O10">
    <cfRule type="cellIs" priority="3" operator="lessThan" aboveAverage="0" equalAverage="0" bottom="0" percent="0" rank="0" text="" dxfId="7">
      <formula>0</formula>
    </cfRule>
  </conditionalFormatting>
  <conditionalFormatting sqref="B16:B30">
    <cfRule type="cellIs" priority="4" operator="equal" aboveAverage="0" equalAverage="0" bottom="0" percent="0" rank="0" text="" dxfId="8">
      <formula>"Sí"</formula>
    </cfRule>
    <cfRule type="cellIs" priority="5" operator="equal" aboveAverage="0" equalAverage="0" bottom="0" percent="0" rank="0" text="" dxfId="9">
      <formula>"No"</formula>
    </cfRule>
  </conditionalFormatting>
  <conditionalFormatting sqref="O15:P15">
    <cfRule type="dataBar" priority="6">
      <dataBar showValue="0" minLength="10" maxLength="90">
        <cfvo type="num" val="0"/>
        <cfvo type="formula" val="MAX($Q$15:$Q$25)"/>
        <color rgb="FF2B3A33"/>
      </dataBar>
      <extLst>
        <ext xmlns:x14="http://schemas.microsoft.com/office/spreadsheetml/2009/9/main" uri="{B025F937-C7B1-47D3-B67F-A62EFF666E3E}">
          <x14:id>{81FEAFFC-5F40-46E1-A29C-10D48A45365E}</x14:id>
        </ext>
      </extLst>
    </cfRule>
  </conditionalFormatting>
  <conditionalFormatting sqref="O16:P25">
    <cfRule type="dataBar" priority="7">
      <dataBar showValue="0" minLength="10" maxLength="90">
        <cfvo type="num" val="0"/>
        <cfvo type="formula" val="MAX($Q$15:$Q$25)"/>
        <color rgb="FF2F7D52"/>
      </dataBar>
      <extLst>
        <ext xmlns:x14="http://schemas.microsoft.com/office/spreadsheetml/2009/9/main" uri="{B025F937-C7B1-47D3-B67F-A62EFF666E3E}">
          <x14:id>{D4E9DA75-C831-4463-BA2B-4CF7F72CFDFD}</x14:id>
        </ext>
      </extLst>
    </cfRule>
  </conditionalFormatting>
  <dataValidations count="6">
    <dataValidation allowBlank="true" errorStyle="stop" operator="between" showDropDown="false" showErrorMessage="true" showInputMessage="false" sqref="B16:B30" type="list">
      <formula1>"Sí,No"</formula1>
      <formula2>0</formula2>
    </dataValidation>
    <dataValidation allowBlank="true" errorStyle="stop" operator="between" showDropDown="false" showErrorMessage="true" showInputMessage="false" sqref="F16:F30" type="list">
      <formula1>"DOP,USD"</formula1>
      <formula2>0</formula2>
    </dataValidation>
    <dataValidation allowBlank="true" errorStyle="stop" operator="between" showDropDown="false" showErrorMessage="true" showInputMessage="false" sqref="N30:N34" type="list">
      <formula1>"Remitly,PayPal"</formula1>
      <formula2>0</formula2>
    </dataValidation>
    <dataValidation allowBlank="true" errorStyle="stop" operator="between" showDropDown="false" showErrorMessage="true" showInputMessage="false" sqref="E39:E1060" type="list">
      <formula1>Config!$E$4:$E$13</formula1>
      <formula2>0</formula2>
    </dataValidation>
    <dataValidation allowBlank="true" errorStyle="stop" operator="between" showDropDown="false" showErrorMessage="true" showInputMessage="false" sqref="F39:F1060" type="list">
      <formula1>Config!$F$4:$F$6</formula1>
      <formula2>0</formula2>
    </dataValidation>
    <dataValidation allowBlank="true" errorStyle="stop" operator="between" showDropDown="false" showErrorMessage="true" showInputMessage="false" sqref="H39:H1060" type="list">
      <formula1>"DOP,USD"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FEAFFC-5F40-46E1-A29C-10D48A45365E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B3A33"/>
              <x14:axisColor rgb="FF000000"/>
            </x14:dataBar>
          </x14:cfRule>
          <xm:sqref>O15:P15</xm:sqref>
        </x14:conditionalFormatting>
        <x14:conditionalFormatting xmlns:xm="http://schemas.microsoft.com/office/excel/2006/main">
          <x14:cfRule type="dataBar" id="{D4E9DA75-C831-4463-BA2B-4CF7F72CFDFD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F7D52"/>
              <x14:axisColor rgb="FF000000"/>
            </x14:dataBar>
          </x14:cfRule>
          <xm:sqref>O16:P25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D52"/>
    <pageSetUpPr fitToPage="false"/>
  </sheetPr>
  <dimension ref="A1:T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3"/>
    <col collapsed="false" customWidth="true" hidden="false" outlineLevel="0" max="13" min="13" style="1" width="11"/>
    <col collapsed="false" customWidth="true" hidden="false" outlineLevel="0" max="15" min="14" style="1" width="1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9" min="18" style="1" width="2"/>
    <col collapsed="false" customWidth="true" hidden="true" outlineLevel="0" max="20" min="20" style="1" width="14"/>
    <col collapsed="false" customWidth="true" hidden="false" outlineLevel="0" max="60" min="21" style="1" width="9"/>
  </cols>
  <sheetData>
    <row r="1" s="1" customFormat="true" ht="26" hidden="false" customHeight="true" outlineLevel="0" collapsed="false">
      <c r="A1" s="2"/>
      <c r="B1" s="3" t="s">
        <v>0</v>
      </c>
      <c r="C1" s="2"/>
      <c r="D1" s="4" t="s">
        <v>98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 t="str">
        <f aca="false">"1 USD = "&amp;FIXED($T$3,2)&amp;" DOP"</f>
        <v>1 USD = 58.76 DOP</v>
      </c>
      <c r="O1" s="6"/>
      <c r="P1" s="6"/>
      <c r="Q1" s="6"/>
      <c r="R1" s="2"/>
    </row>
    <row r="2" s="1" customFormat="true" ht="16" hidden="false" customHeight="true" outlineLevel="0" collapsed="false">
      <c r="B2" s="7" t="s">
        <v>3</v>
      </c>
      <c r="T2" s="8" t="s">
        <v>4</v>
      </c>
    </row>
    <row r="3" s="1" customFormat="true" ht="6" hidden="false" customHeight="true" outlineLevel="0" collapsed="false">
      <c r="T3" s="9" t="n">
        <f aca="false">IFERROR(SUMPRODUCT(Env_2026_10[USD],Env_2026_10[Tasa])/SUM(Env_2026_10[USD]),Config!$C$4)</f>
        <v>58.76</v>
      </c>
    </row>
    <row r="4" s="1" customFormat="true" ht="18" hidden="false" customHeight="true" outlineLevel="0" collapsed="false">
      <c r="B4" s="10" t="s">
        <v>5</v>
      </c>
      <c r="C4" s="11"/>
      <c r="D4" s="12"/>
      <c r="E4" s="13"/>
      <c r="F4" s="11"/>
      <c r="G4" s="14" t="s">
        <v>6</v>
      </c>
      <c r="H4" s="11"/>
      <c r="I4" s="12"/>
      <c r="J4" s="10" t="str">
        <f aca="false">UPPER($D$1)</f>
        <v>OCTUBRE 2026</v>
      </c>
      <c r="K4" s="11"/>
      <c r="L4" s="11"/>
      <c r="M4" s="11"/>
      <c r="N4" s="11"/>
      <c r="O4" s="11"/>
      <c r="P4" s="11"/>
      <c r="Q4" s="12"/>
      <c r="T4" s="9" t="n">
        <f aca="false">SUMIFS(Fijos_2026_10[DOP],Fijos_2026_10[Pagado],"Sí")</f>
        <v>38304.71</v>
      </c>
    </row>
    <row r="5" s="1" customFormat="true" ht="28" hidden="false" customHeight="true" outlineLevel="0" collapsed="false">
      <c r="B5" s="15" t="n">
        <f aca="false">C8*$T$3+C9</f>
        <v>340243.2</v>
      </c>
      <c r="C5" s="15"/>
      <c r="D5" s="15"/>
      <c r="E5" s="16"/>
      <c r="F5" s="17"/>
      <c r="G5" s="17"/>
      <c r="H5" s="17"/>
      <c r="I5" s="18"/>
      <c r="J5" s="19" t="str">
        <f aca="false">FIXED(100*$T$8/MAX(1,O6),1)&amp;"% del presupuesto usado"</f>
        <v>70.2% del presupuesto usado</v>
      </c>
      <c r="K5" s="17"/>
      <c r="L5" s="17"/>
      <c r="M5" s="17"/>
      <c r="N5" s="17"/>
      <c r="O5" s="17"/>
      <c r="P5" s="17"/>
      <c r="Q5" s="18"/>
      <c r="T5" s="9" t="n">
        <f aca="false">SUM(Tx_2026_10[DOP])</f>
        <v>10845</v>
      </c>
    </row>
    <row r="6" s="1" customFormat="true" ht="18" hidden="false" customHeight="true" outlineLevel="0" collapsed="false">
      <c r="B6" s="20" t="n">
        <f aca="false">C8+C9/$T$3</f>
        <v>5790.38801906059</v>
      </c>
      <c r="C6" s="20"/>
      <c r="D6" s="20"/>
      <c r="E6" s="16"/>
      <c r="F6" s="17"/>
      <c r="G6" s="21" t="s">
        <v>7</v>
      </c>
      <c r="H6" s="21"/>
      <c r="I6" s="22" t="n">
        <f aca="false">$T$4</f>
        <v>38304.71</v>
      </c>
      <c r="J6" s="23" t="s">
        <v>8</v>
      </c>
      <c r="K6" s="24"/>
      <c r="L6" s="24"/>
      <c r="M6" s="24"/>
      <c r="N6" s="24"/>
      <c r="O6" s="25" t="n">
        <v>70000</v>
      </c>
      <c r="P6" s="25"/>
      <c r="Q6" s="25"/>
      <c r="T6" s="9" t="n">
        <f aca="false">SUMIFS(Fijos_2026_10[DOP],Fijos_2026_10[Pagado],"No")</f>
        <v>3720.86</v>
      </c>
    </row>
    <row r="7" s="1" customFormat="true" ht="10" hidden="false" customHeight="true" outlineLevel="0" collapsed="false">
      <c r="B7" s="16"/>
      <c r="C7" s="17"/>
      <c r="D7" s="18"/>
      <c r="E7" s="16"/>
      <c r="F7" s="17"/>
      <c r="G7" s="17"/>
      <c r="H7" s="17"/>
      <c r="I7" s="18"/>
      <c r="J7" s="16"/>
      <c r="K7" s="17"/>
      <c r="L7" s="17"/>
      <c r="M7" s="17"/>
      <c r="N7" s="17"/>
      <c r="O7" s="17"/>
      <c r="P7" s="17"/>
      <c r="Q7" s="18"/>
      <c r="T7" s="9" t="n">
        <f aca="false">MAX(0,O6-T4-T5-T6)</f>
        <v>17129.43</v>
      </c>
    </row>
    <row r="8" s="1" customFormat="true" ht="20" hidden="false" customHeight="true" outlineLevel="0" collapsed="false">
      <c r="B8" s="26" t="s">
        <v>9</v>
      </c>
      <c r="C8" s="27" t="n">
        <v>4320</v>
      </c>
      <c r="D8" s="28" t="s">
        <v>10</v>
      </c>
      <c r="E8" s="16"/>
      <c r="F8" s="17"/>
      <c r="G8" s="29" t="s">
        <v>11</v>
      </c>
      <c r="H8" s="29"/>
      <c r="I8" s="22" t="n">
        <f aca="false">$T$5</f>
        <v>10845</v>
      </c>
      <c r="J8" s="30" t="s">
        <v>12</v>
      </c>
      <c r="K8" s="24"/>
      <c r="L8" s="24"/>
      <c r="M8" s="24"/>
      <c r="N8" s="24"/>
      <c r="O8" s="31" t="n">
        <f aca="false">$T$8</f>
        <v>49149.71</v>
      </c>
      <c r="P8" s="31"/>
      <c r="Q8" s="31"/>
      <c r="T8" s="9" t="n">
        <f aca="false">T4+T5</f>
        <v>49149.71</v>
      </c>
    </row>
    <row r="9" s="1" customFormat="true" ht="20" hidden="false" customHeight="true" outlineLevel="0" collapsed="false">
      <c r="B9" s="26" t="s">
        <v>13</v>
      </c>
      <c r="C9" s="27" t="n">
        <v>86400</v>
      </c>
      <c r="D9" s="28" t="s">
        <v>14</v>
      </c>
      <c r="E9" s="16"/>
      <c r="F9" s="17"/>
      <c r="G9" s="32" t="s">
        <v>15</v>
      </c>
      <c r="H9" s="32"/>
      <c r="I9" s="22" t="n">
        <f aca="false">$T$6</f>
        <v>3720.86</v>
      </c>
      <c r="J9" s="30" t="s">
        <v>16</v>
      </c>
      <c r="K9" s="24"/>
      <c r="L9" s="24"/>
      <c r="M9" s="24"/>
      <c r="N9" s="24"/>
      <c r="O9" s="33" t="n">
        <f aca="false">O6-O8</f>
        <v>20850.29</v>
      </c>
      <c r="P9" s="33"/>
      <c r="Q9" s="33"/>
      <c r="T9" s="9" t="str">
        <f aca="false">FIXED(T8,0)</f>
        <v>49,150</v>
      </c>
    </row>
    <row r="10" s="1" customFormat="true" ht="20" hidden="false" customHeight="true" outlineLevel="0" collapsed="false">
      <c r="B10" s="26" t="s">
        <v>17</v>
      </c>
      <c r="C10" s="27" t="n">
        <v>5800</v>
      </c>
      <c r="D10" s="28" t="s">
        <v>10</v>
      </c>
      <c r="E10" s="16"/>
      <c r="F10" s="17"/>
      <c r="G10" s="34" t="s">
        <v>18</v>
      </c>
      <c r="H10" s="34"/>
      <c r="I10" s="22" t="n">
        <f aca="false">$T$7</f>
        <v>17129.43</v>
      </c>
      <c r="J10" s="26" t="s">
        <v>19</v>
      </c>
      <c r="K10" s="24"/>
      <c r="L10" s="24"/>
      <c r="M10" s="24"/>
      <c r="N10" s="24"/>
      <c r="O10" s="35" t="n">
        <f aca="false">O9-$T$6</f>
        <v>17129.43</v>
      </c>
      <c r="P10" s="35"/>
      <c r="Q10" s="35"/>
      <c r="T10" s="9" t="str">
        <f aca="false">"de "&amp;FIXED(O6,0)&amp;" DOP"</f>
        <v>de 70,000 DOP</v>
      </c>
    </row>
    <row r="11" s="1" customFormat="true" ht="20" hidden="false" customHeight="true" outlineLevel="0" collapsed="false">
      <c r="B11" s="36" t="s">
        <v>20</v>
      </c>
      <c r="C11" s="37" t="n">
        <f aca="false">C10*$T$3-$T$8</f>
        <v>291658.29</v>
      </c>
      <c r="D11" s="37"/>
      <c r="E11" s="16"/>
      <c r="F11" s="17"/>
      <c r="G11" s="17"/>
      <c r="H11" s="17"/>
      <c r="I11" s="18"/>
      <c r="J11" s="26" t="s">
        <v>21</v>
      </c>
      <c r="K11" s="24"/>
      <c r="L11" s="24"/>
      <c r="M11" s="24"/>
      <c r="N11" s="24"/>
      <c r="O11" s="35" t="n">
        <f aca="false">$T$8/$T$3</f>
        <v>836.448434309054</v>
      </c>
      <c r="P11" s="35"/>
      <c r="Q11" s="35"/>
    </row>
    <row r="12" s="1" customFormat="true" ht="10" hidden="false" customHeight="true" outlineLevel="0" collapsed="false">
      <c r="B12" s="38"/>
      <c r="C12" s="39"/>
      <c r="D12" s="40"/>
      <c r="E12" s="38"/>
      <c r="F12" s="39"/>
      <c r="G12" s="39"/>
      <c r="H12" s="39"/>
      <c r="I12" s="40"/>
      <c r="J12" s="38"/>
      <c r="K12" s="39"/>
      <c r="L12" s="39"/>
      <c r="M12" s="39"/>
      <c r="N12" s="39"/>
      <c r="O12" s="39"/>
      <c r="P12" s="39"/>
      <c r="Q12" s="40"/>
    </row>
    <row r="13" s="1" customFormat="true" ht="10" hidden="false" customHeight="true" outlineLevel="0" collapsed="false"/>
    <row r="14" s="1" customFormat="true" ht="26" hidden="false" customHeight="true" outlineLevel="0" collapsed="false">
      <c r="B14" s="41" t="s">
        <v>22</v>
      </c>
      <c r="C14" s="11"/>
      <c r="D14" s="11"/>
      <c r="E14" s="11"/>
      <c r="F14" s="11"/>
      <c r="G14" s="11"/>
      <c r="H14" s="42" t="str">
        <f aca="false">COUNTIFS(Fijos_2026_10[Pagado],"Sí")&amp;" de "&amp;COUNTA(Fijos_2026_10[Concepto])&amp;" pagados · total "&amp;FIXED(SUM(Fijos_2026_10[DOP]),2)&amp;" DOP"</f>
        <v>6 de 11 pagados · total 42,025.57 DOP</v>
      </c>
      <c r="I14" s="42"/>
      <c r="J14" s="42"/>
      <c r="K14" s="42"/>
      <c r="M14" s="41" t="s">
        <v>23</v>
      </c>
      <c r="N14" s="11"/>
      <c r="O14" s="11"/>
      <c r="P14" s="11"/>
      <c r="Q14" s="42" t="s">
        <v>14</v>
      </c>
    </row>
    <row r="15" s="1" customFormat="true" ht="20" hidden="false" customHeight="false" outlineLevel="0" collapsed="false">
      <c r="B15" s="43" t="s">
        <v>24</v>
      </c>
      <c r="C15" s="44" t="s">
        <v>25</v>
      </c>
      <c r="D15" s="44" t="s">
        <v>26</v>
      </c>
      <c r="E15" s="45" t="s">
        <v>27</v>
      </c>
      <c r="F15" s="44" t="s">
        <v>28</v>
      </c>
      <c r="G15" s="45" t="s">
        <v>14</v>
      </c>
      <c r="H15" s="45" t="s">
        <v>10</v>
      </c>
      <c r="I15" s="17"/>
      <c r="J15" s="17"/>
      <c r="K15" s="18"/>
      <c r="M15" s="16" t="s">
        <v>29</v>
      </c>
      <c r="N15" s="16"/>
      <c r="O15" s="46" t="n">
        <f aca="false">Q15</f>
        <v>38304.71</v>
      </c>
      <c r="P15" s="46"/>
      <c r="Q15" s="22" t="n">
        <f aca="false">$T$4</f>
        <v>38304.71</v>
      </c>
    </row>
    <row r="16" s="1" customFormat="true" ht="20" hidden="false" customHeight="false" outlineLevel="0" collapsed="false">
      <c r="B16" s="47" t="s">
        <v>30</v>
      </c>
      <c r="C16" s="48" t="s">
        <v>31</v>
      </c>
      <c r="D16" s="49"/>
      <c r="E16" s="50" t="n">
        <v>1337.15</v>
      </c>
      <c r="F16" s="49" t="s">
        <v>14</v>
      </c>
      <c r="G16" s="51" t="n">
        <f aca="false">IF(Fijos_2026_10[[#This Row],[Monto]]="","",IF(Fijos_2026_10[[#This Row],[Moneda]]="USD",Fijos_2026_10[[#This Row],[Monto]]*$T$3,Fijos_2026_10[[#This Row],[Monto]]))</f>
        <v>1337.15</v>
      </c>
      <c r="H16" s="52" t="n">
        <f aca="false">IF(Fijos_2026_10[[#This Row],[DOP]]="","",Fijos_2026_10[[#This Row],[DOP]]/$T$3)</f>
        <v>22.7561266167461</v>
      </c>
      <c r="I16" s="17"/>
      <c r="J16" s="17"/>
      <c r="K16" s="18"/>
      <c r="M16" s="16" t="s">
        <v>32</v>
      </c>
      <c r="N16" s="16"/>
      <c r="O16" s="46" t="n">
        <f aca="false">Q16</f>
        <v>1535</v>
      </c>
      <c r="P16" s="46"/>
      <c r="Q16" s="22" t="n">
        <f aca="false">SUMIFS(Tx_2026_10[DOP],Tx_2026_10[Categoría],M16)</f>
        <v>1535</v>
      </c>
    </row>
    <row r="17" s="1" customFormat="true" ht="20" hidden="false" customHeight="false" outlineLevel="0" collapsed="false">
      <c r="B17" s="47" t="s">
        <v>30</v>
      </c>
      <c r="C17" s="48" t="s">
        <v>33</v>
      </c>
      <c r="D17" s="49"/>
      <c r="E17" s="50" t="n">
        <v>2699</v>
      </c>
      <c r="F17" s="49" t="s">
        <v>14</v>
      </c>
      <c r="G17" s="51" t="n">
        <f aca="false">IF(Fijos_2026_10[[#This Row],[Monto]]="","",IF(Fijos_2026_10[[#This Row],[Moneda]]="USD",Fijos_2026_10[[#This Row],[Monto]]*$T$3,Fijos_2026_10[[#This Row],[Monto]]))</f>
        <v>2699</v>
      </c>
      <c r="H17" s="52" t="n">
        <f aca="false">IF(Fijos_2026_10[[#This Row],[DOP]]="","",Fijos_2026_10[[#This Row],[DOP]]/$T$3)</f>
        <v>45.9326072157931</v>
      </c>
      <c r="I17" s="17"/>
      <c r="J17" s="17"/>
      <c r="K17" s="18"/>
      <c r="M17" s="16" t="s">
        <v>34</v>
      </c>
      <c r="N17" s="16"/>
      <c r="O17" s="46" t="n">
        <f aca="false">Q17</f>
        <v>4850</v>
      </c>
      <c r="P17" s="46"/>
      <c r="Q17" s="22" t="n">
        <f aca="false">SUMIFS(Tx_2026_10[DOP],Tx_2026_10[Categoría],M17)</f>
        <v>4850</v>
      </c>
    </row>
    <row r="18" s="1" customFormat="true" ht="20" hidden="false" customHeight="false" outlineLevel="0" collapsed="false">
      <c r="B18" s="47" t="s">
        <v>30</v>
      </c>
      <c r="C18" s="48" t="s">
        <v>35</v>
      </c>
      <c r="D18" s="49"/>
      <c r="E18" s="50" t="n">
        <v>5640</v>
      </c>
      <c r="F18" s="49" t="s">
        <v>14</v>
      </c>
      <c r="G18" s="51" t="n">
        <f aca="false">IF(Fijos_2026_10[[#This Row],[Monto]]="","",IF(Fijos_2026_10[[#This Row],[Moneda]]="USD",Fijos_2026_10[[#This Row],[Monto]]*$T$3,Fijos_2026_10[[#This Row],[Monto]]))</f>
        <v>5640</v>
      </c>
      <c r="H18" s="52" t="n">
        <f aca="false">IF(Fijos_2026_10[[#This Row],[DOP]]="","",Fijos_2026_10[[#This Row],[DOP]]/$T$3)</f>
        <v>95.9836623553438</v>
      </c>
      <c r="I18" s="17"/>
      <c r="J18" s="17"/>
      <c r="K18" s="18"/>
      <c r="M18" s="16" t="s">
        <v>36</v>
      </c>
      <c r="N18" s="16"/>
      <c r="O18" s="46" t="n">
        <f aca="false">Q18</f>
        <v>2320</v>
      </c>
      <c r="P18" s="46"/>
      <c r="Q18" s="22" t="n">
        <f aca="false">SUMIFS(Tx_2026_10[DOP],Tx_2026_10[Categoría],M18)</f>
        <v>2320</v>
      </c>
    </row>
    <row r="19" s="1" customFormat="true" ht="20" hidden="false" customHeight="false" outlineLevel="0" collapsed="false">
      <c r="B19" s="47" t="s">
        <v>30</v>
      </c>
      <c r="C19" s="48" t="s">
        <v>37</v>
      </c>
      <c r="D19" s="49"/>
      <c r="E19" s="50" t="n">
        <v>15000</v>
      </c>
      <c r="F19" s="49" t="s">
        <v>14</v>
      </c>
      <c r="G19" s="51" t="n">
        <f aca="false">IF(Fijos_2026_10[[#This Row],[Monto]]="","",IF(Fijos_2026_10[[#This Row],[Moneda]]="USD",Fijos_2026_10[[#This Row],[Monto]]*$T$3,Fijos_2026_10[[#This Row],[Monto]]))</f>
        <v>15000</v>
      </c>
      <c r="H19" s="52" t="n">
        <f aca="false">IF(Fijos_2026_10[[#This Row],[DOP]]="","",Fijos_2026_10[[#This Row],[DOP]]/$T$3)</f>
        <v>255.275697753574</v>
      </c>
      <c r="I19" s="17"/>
      <c r="J19" s="17"/>
      <c r="K19" s="18"/>
      <c r="M19" s="16" t="s">
        <v>38</v>
      </c>
      <c r="N19" s="16"/>
      <c r="O19" s="46" t="n">
        <f aca="false">Q19</f>
        <v>900</v>
      </c>
      <c r="P19" s="46"/>
      <c r="Q19" s="22" t="n">
        <f aca="false">SUMIFS(Tx_2026_10[DOP],Tx_2026_10[Categoría],M19)</f>
        <v>900</v>
      </c>
    </row>
    <row r="20" s="1" customFormat="true" ht="20" hidden="false" customHeight="false" outlineLevel="0" collapsed="false">
      <c r="B20" s="47" t="s">
        <v>30</v>
      </c>
      <c r="C20" s="48" t="s">
        <v>39</v>
      </c>
      <c r="D20" s="49" t="n">
        <v>5</v>
      </c>
      <c r="E20" s="50" t="n">
        <v>106</v>
      </c>
      <c r="F20" s="49" t="s">
        <v>10</v>
      </c>
      <c r="G20" s="51" t="n">
        <f aca="false">IF(Fijos_2026_10[[#This Row],[Monto]]="","",IF(Fijos_2026_10[[#This Row],[Moneda]]="USD",Fijos_2026_10[[#This Row],[Monto]]*$T$3,Fijos_2026_10[[#This Row],[Monto]]))</f>
        <v>6228.56</v>
      </c>
      <c r="H20" s="52" t="n">
        <f aca="false">IF(Fijos_2026_10[[#This Row],[DOP]]="","",Fijos_2026_10[[#This Row],[DOP]]/$T$3)</f>
        <v>106</v>
      </c>
      <c r="I20" s="17"/>
      <c r="J20" s="17"/>
      <c r="K20" s="18"/>
      <c r="M20" s="16" t="s">
        <v>40</v>
      </c>
      <c r="N20" s="16"/>
      <c r="O20" s="46" t="n">
        <f aca="false">Q20</f>
        <v>1240</v>
      </c>
      <c r="P20" s="46"/>
      <c r="Q20" s="22" t="n">
        <f aca="false">SUMIFS(Tx_2026_10[DOP],Tx_2026_10[Categoría],M20)</f>
        <v>1240</v>
      </c>
    </row>
    <row r="21" s="1" customFormat="true" ht="20" hidden="false" customHeight="false" outlineLevel="0" collapsed="false">
      <c r="B21" s="47" t="s">
        <v>99</v>
      </c>
      <c r="C21" s="48" t="s">
        <v>41</v>
      </c>
      <c r="D21" s="49" t="n">
        <v>16</v>
      </c>
      <c r="E21" s="50" t="n">
        <v>121.56</v>
      </c>
      <c r="F21" s="49" t="s">
        <v>14</v>
      </c>
      <c r="G21" s="51" t="n">
        <f aca="false">IF(Fijos_2026_10[[#This Row],[Monto]]="","",IF(Fijos_2026_10[[#This Row],[Moneda]]="USD",Fijos_2026_10[[#This Row],[Monto]]*$T$3,Fijos_2026_10[[#This Row],[Monto]]))</f>
        <v>121.56</v>
      </c>
      <c r="H21" s="52" t="n">
        <f aca="false">IF(Fijos_2026_10[[#This Row],[DOP]]="","",Fijos_2026_10[[#This Row],[DOP]]/$T$3)</f>
        <v>2.06875425459496</v>
      </c>
      <c r="I21" s="17"/>
      <c r="J21" s="17"/>
      <c r="K21" s="18"/>
      <c r="M21" s="16" t="s">
        <v>42</v>
      </c>
      <c r="N21" s="16"/>
      <c r="O21" s="46" t="n">
        <f aca="false">Q21</f>
        <v>0</v>
      </c>
      <c r="P21" s="46"/>
      <c r="Q21" s="22" t="n">
        <f aca="false">SUMIFS(Tx_2026_10[DOP],Tx_2026_10[Categoría],M21)</f>
        <v>0</v>
      </c>
    </row>
    <row r="22" s="1" customFormat="true" ht="20" hidden="false" customHeight="false" outlineLevel="0" collapsed="false">
      <c r="B22" s="47" t="s">
        <v>99</v>
      </c>
      <c r="C22" s="48" t="s">
        <v>43</v>
      </c>
      <c r="D22" s="49" t="n">
        <v>17</v>
      </c>
      <c r="E22" s="50" t="n">
        <v>604</v>
      </c>
      <c r="F22" s="49" t="s">
        <v>14</v>
      </c>
      <c r="G22" s="51" t="n">
        <f aca="false">IF(Fijos_2026_10[[#This Row],[Monto]]="","",IF(Fijos_2026_10[[#This Row],[Moneda]]="USD",Fijos_2026_10[[#This Row],[Monto]]*$T$3,Fijos_2026_10[[#This Row],[Monto]]))</f>
        <v>604</v>
      </c>
      <c r="H22" s="52" t="n">
        <f aca="false">IF(Fijos_2026_10[[#This Row],[DOP]]="","",Fijos_2026_10[[#This Row],[DOP]]/$T$3)</f>
        <v>10.2791014295439</v>
      </c>
      <c r="I22" s="17"/>
      <c r="J22" s="17"/>
      <c r="K22" s="18"/>
      <c r="M22" s="16" t="s">
        <v>44</v>
      </c>
      <c r="N22" s="16"/>
      <c r="O22" s="46" t="n">
        <f aca="false">Q22</f>
        <v>0</v>
      </c>
      <c r="P22" s="46"/>
      <c r="Q22" s="22" t="n">
        <f aca="false">SUMIFS(Tx_2026_10[DOP],Tx_2026_10[Categoría],M22)</f>
        <v>0</v>
      </c>
    </row>
    <row r="23" s="1" customFormat="true" ht="20" hidden="false" customHeight="false" outlineLevel="0" collapsed="false">
      <c r="B23" s="47" t="s">
        <v>99</v>
      </c>
      <c r="C23" s="48" t="s">
        <v>45</v>
      </c>
      <c r="D23" s="49"/>
      <c r="E23" s="50" t="n">
        <v>308</v>
      </c>
      <c r="F23" s="49" t="s">
        <v>14</v>
      </c>
      <c r="G23" s="51" t="n">
        <f aca="false">IF(Fijos_2026_10[[#This Row],[Monto]]="","",IF(Fijos_2026_10[[#This Row],[Moneda]]="USD",Fijos_2026_10[[#This Row],[Monto]]*$T$3,Fijos_2026_10[[#This Row],[Monto]]))</f>
        <v>308</v>
      </c>
      <c r="H23" s="52" t="n">
        <f aca="false">IF(Fijos_2026_10[[#This Row],[DOP]]="","",Fijos_2026_10[[#This Row],[DOP]]/$T$3)</f>
        <v>5.24166099387338</v>
      </c>
      <c r="I23" s="17"/>
      <c r="J23" s="17"/>
      <c r="K23" s="18"/>
      <c r="M23" s="16" t="s">
        <v>46</v>
      </c>
      <c r="N23" s="16"/>
      <c r="O23" s="46" t="n">
        <f aca="false">Q23</f>
        <v>0</v>
      </c>
      <c r="P23" s="46"/>
      <c r="Q23" s="22" t="n">
        <f aca="false">SUMIFS(Tx_2026_10[DOP],Tx_2026_10[Categoría],M23)</f>
        <v>0</v>
      </c>
    </row>
    <row r="24" s="1" customFormat="true" ht="20" hidden="false" customHeight="false" outlineLevel="0" collapsed="false">
      <c r="B24" s="47" t="s">
        <v>99</v>
      </c>
      <c r="C24" s="48" t="s">
        <v>47</v>
      </c>
      <c r="D24" s="49" t="n">
        <v>17</v>
      </c>
      <c r="E24" s="50" t="n">
        <v>1550</v>
      </c>
      <c r="F24" s="49" t="s">
        <v>14</v>
      </c>
      <c r="G24" s="51" t="n">
        <f aca="false">IF(Fijos_2026_10[[#This Row],[Monto]]="","",IF(Fijos_2026_10[[#This Row],[Moneda]]="USD",Fijos_2026_10[[#This Row],[Monto]]*$T$3,Fijos_2026_10[[#This Row],[Monto]]))</f>
        <v>1550</v>
      </c>
      <c r="H24" s="52" t="n">
        <f aca="false">IF(Fijos_2026_10[[#This Row],[DOP]]="","",Fijos_2026_10[[#This Row],[DOP]]/$T$3)</f>
        <v>26.3784887678693</v>
      </c>
      <c r="I24" s="17"/>
      <c r="J24" s="17"/>
      <c r="K24" s="18"/>
      <c r="M24" s="16" t="s">
        <v>48</v>
      </c>
      <c r="N24" s="16"/>
      <c r="O24" s="46" t="n">
        <f aca="false">Q24</f>
        <v>0</v>
      </c>
      <c r="P24" s="46"/>
      <c r="Q24" s="22" t="n">
        <f aca="false">SUMIFS(Tx_2026_10[DOP],Tx_2026_10[Categoría],M24)</f>
        <v>0</v>
      </c>
    </row>
    <row r="25" s="1" customFormat="true" ht="20" hidden="false" customHeight="false" outlineLevel="0" collapsed="false">
      <c r="B25" s="47" t="s">
        <v>99</v>
      </c>
      <c r="C25" s="48" t="s">
        <v>49</v>
      </c>
      <c r="D25" s="49"/>
      <c r="E25" s="50" t="n">
        <v>1137.3</v>
      </c>
      <c r="F25" s="49" t="s">
        <v>14</v>
      </c>
      <c r="G25" s="51" t="n">
        <f aca="false">IF(Fijos_2026_10[[#This Row],[Monto]]="","",IF(Fijos_2026_10[[#This Row],[Moneda]]="USD",Fijos_2026_10[[#This Row],[Monto]]*$T$3,Fijos_2026_10[[#This Row],[Monto]]))</f>
        <v>1137.3</v>
      </c>
      <c r="H25" s="52" t="n">
        <f aca="false">IF(Fijos_2026_10[[#This Row],[DOP]]="","",Fijos_2026_10[[#This Row],[DOP]]/$T$3)</f>
        <v>19.355003403676</v>
      </c>
      <c r="I25" s="17"/>
      <c r="J25" s="17"/>
      <c r="K25" s="18"/>
      <c r="M25" s="16" t="s">
        <v>50</v>
      </c>
      <c r="N25" s="16"/>
      <c r="O25" s="46" t="n">
        <f aca="false">Q25</f>
        <v>0</v>
      </c>
      <c r="P25" s="46"/>
      <c r="Q25" s="22" t="n">
        <f aca="false">SUMIFS(Tx_2026_10[DOP],Tx_2026_10[Categoría],M25)</f>
        <v>0</v>
      </c>
    </row>
    <row r="26" s="1" customFormat="true" ht="20" hidden="false" customHeight="false" outlineLevel="0" collapsed="false">
      <c r="B26" s="47" t="s">
        <v>30</v>
      </c>
      <c r="C26" s="48" t="s">
        <v>51</v>
      </c>
      <c r="D26" s="49"/>
      <c r="E26" s="50" t="n">
        <v>7400</v>
      </c>
      <c r="F26" s="49" t="s">
        <v>14</v>
      </c>
      <c r="G26" s="51" t="n">
        <f aca="false">IF(Fijos_2026_10[[#This Row],[Monto]]="","",IF(Fijos_2026_10[[#This Row],[Moneda]]="USD",Fijos_2026_10[[#This Row],[Monto]]*$T$3,Fijos_2026_10[[#This Row],[Monto]]))</f>
        <v>7400</v>
      </c>
      <c r="H26" s="52" t="n">
        <f aca="false">IF(Fijos_2026_10[[#This Row],[DOP]]="","",Fijos_2026_10[[#This Row],[DOP]]/$T$3)</f>
        <v>125.936010891763</v>
      </c>
      <c r="I26" s="17"/>
      <c r="J26" s="17"/>
      <c r="K26" s="18"/>
      <c r="M26" s="38"/>
      <c r="N26" s="39"/>
      <c r="O26" s="39"/>
      <c r="P26" s="39"/>
      <c r="Q26" s="40"/>
    </row>
    <row r="27" s="1" customFormat="true" ht="20" hidden="false" customHeight="false" outlineLevel="0" collapsed="false">
      <c r="B27" s="47"/>
      <c r="C27" s="48"/>
      <c r="D27" s="49"/>
      <c r="E27" s="50"/>
      <c r="F27" s="49"/>
      <c r="G27" s="51" t="str">
        <f aca="false">IF(Fijos_2026_10[[#This Row],[Monto]]="","",IF(Fijos_2026_10[[#This Row],[Moneda]]="USD",Fijos_2026_10[[#This Row],[Monto]]*$T$3,Fijos_2026_10[[#This Row],[Monto]]))</f>
        <v/>
      </c>
      <c r="H27" s="52" t="str">
        <f aca="false">IF(Fijos_2026_10[[#This Row],[DOP]]="","",Fijos_2026_10[[#This Row],[DOP]]/$T$3)</f>
        <v/>
      </c>
      <c r="I27" s="17"/>
      <c r="J27" s="17"/>
      <c r="K27" s="18"/>
    </row>
    <row r="28" s="1" customFormat="true" ht="20" hidden="false" customHeight="false" outlineLevel="0" collapsed="false">
      <c r="B28" s="47"/>
      <c r="C28" s="48"/>
      <c r="D28" s="49"/>
      <c r="E28" s="50"/>
      <c r="F28" s="49"/>
      <c r="G28" s="51" t="str">
        <f aca="false">IF(Fijos_2026_10[[#This Row],[Monto]]="","",IF(Fijos_2026_10[[#This Row],[Moneda]]="USD",Fijos_2026_10[[#This Row],[Monto]]*$T$3,Fijos_2026_10[[#This Row],[Monto]]))</f>
        <v/>
      </c>
      <c r="H28" s="52" t="str">
        <f aca="false">IF(Fijos_2026_10[[#This Row],[DOP]]="","",Fijos_2026_10[[#This Row],[DOP]]/$T$3)</f>
        <v/>
      </c>
      <c r="I28" s="17"/>
      <c r="J28" s="17"/>
      <c r="K28" s="18"/>
      <c r="M28" s="41" t="s">
        <v>52</v>
      </c>
      <c r="N28" s="11"/>
      <c r="O28" s="42" t="str">
        <f aca="false">"Promedio "&amp;FIXED($T$3,2)</f>
        <v>Promedio 58.76</v>
      </c>
      <c r="P28" s="42"/>
      <c r="Q28" s="42"/>
    </row>
    <row r="29" s="1" customFormat="true" ht="20" hidden="false" customHeight="false" outlineLevel="0" collapsed="false">
      <c r="B29" s="47"/>
      <c r="C29" s="48"/>
      <c r="D29" s="49"/>
      <c r="E29" s="50"/>
      <c r="F29" s="49"/>
      <c r="G29" s="51" t="str">
        <f aca="false">IF(Fijos_2026_10[[#This Row],[Monto]]="","",IF(Fijos_2026_10[[#This Row],[Moneda]]="USD",Fijos_2026_10[[#This Row],[Monto]]*$T$3,Fijos_2026_10[[#This Row],[Monto]]))</f>
        <v/>
      </c>
      <c r="H29" s="52" t="str">
        <f aca="false">IF(Fijos_2026_10[[#This Row],[DOP]]="","",Fijos_2026_10[[#This Row],[DOP]]/$T$3)</f>
        <v/>
      </c>
      <c r="I29" s="17"/>
      <c r="J29" s="17"/>
      <c r="K29" s="18"/>
      <c r="M29" s="43" t="s">
        <v>53</v>
      </c>
      <c r="N29" s="44" t="s">
        <v>54</v>
      </c>
      <c r="O29" s="45" t="s">
        <v>10</v>
      </c>
      <c r="P29" s="45" t="s">
        <v>55</v>
      </c>
      <c r="Q29" s="45" t="s">
        <v>14</v>
      </c>
    </row>
    <row r="30" s="1" customFormat="true" ht="20" hidden="false" customHeight="false" outlineLevel="0" collapsed="false">
      <c r="B30" s="47"/>
      <c r="C30" s="48"/>
      <c r="D30" s="49"/>
      <c r="E30" s="50"/>
      <c r="F30" s="49"/>
      <c r="G30" s="51" t="str">
        <f aca="false">IF(Fijos_2026_10[[#This Row],[Monto]]="","",IF(Fijos_2026_10[[#This Row],[Moneda]]="USD",Fijos_2026_10[[#This Row],[Monto]]*$T$3,Fijos_2026_10[[#This Row],[Monto]]))</f>
        <v/>
      </c>
      <c r="H30" s="52" t="str">
        <f aca="false">IF(Fijos_2026_10[[#This Row],[DOP]]="","",Fijos_2026_10[[#This Row],[DOP]]/$T$3)</f>
        <v/>
      </c>
      <c r="I30" s="17"/>
      <c r="J30" s="17"/>
      <c r="K30" s="18"/>
      <c r="M30" s="53" t="n">
        <v>46297</v>
      </c>
      <c r="N30" s="48" t="s">
        <v>56</v>
      </c>
      <c r="O30" s="50" t="n">
        <v>1500</v>
      </c>
      <c r="P30" s="54" t="n">
        <v>58.76</v>
      </c>
      <c r="Q30" s="50" t="n">
        <f aca="false">IF(Env_2026_10[[#This Row],[USD]]="","",Env_2026_10[[#This Row],[USD]]*Env_2026_10[[#This Row],[Tasa]])</f>
        <v>88140</v>
      </c>
    </row>
    <row r="31" s="1" customFormat="true" ht="6" hidden="false" customHeight="true" outlineLevel="0" collapsed="false">
      <c r="B31" s="38"/>
      <c r="C31" s="39"/>
      <c r="D31" s="39"/>
      <c r="E31" s="39"/>
      <c r="F31" s="39"/>
      <c r="G31" s="39"/>
      <c r="H31" s="39"/>
      <c r="I31" s="39"/>
      <c r="J31" s="39"/>
      <c r="K31" s="40"/>
      <c r="M31" s="53"/>
      <c r="N31" s="48"/>
      <c r="O31" s="50"/>
      <c r="P31" s="54"/>
      <c r="Q31" s="50" t="str">
        <f aca="false">IF(Env_2026_10[[#This Row],[USD]]="","",Env_2026_10[[#This Row],[USD]]*Env_2026_10[[#This Row],[Tasa]])</f>
        <v/>
      </c>
    </row>
    <row r="32" s="1" customFormat="true" ht="20" hidden="false" customHeight="false" outlineLevel="0" collapsed="false">
      <c r="M32" s="53"/>
      <c r="N32" s="48"/>
      <c r="O32" s="50"/>
      <c r="P32" s="54"/>
      <c r="Q32" s="50" t="str">
        <f aca="false">IF(Env_2026_10[[#This Row],[USD]]="","",Env_2026_10[[#This Row],[USD]]*Env_2026_10[[#This Row],[Tasa]])</f>
        <v/>
      </c>
    </row>
    <row r="33" s="1" customFormat="true" ht="20" hidden="false" customHeight="false" outlineLevel="0" collapsed="false">
      <c r="M33" s="53"/>
      <c r="N33" s="48"/>
      <c r="O33" s="50"/>
      <c r="P33" s="54"/>
      <c r="Q33" s="50" t="str">
        <f aca="false">IF(Env_2026_10[[#This Row],[USD]]="","",Env_2026_10[[#This Row],[USD]]*Env_2026_10[[#This Row],[Tasa]])</f>
        <v/>
      </c>
    </row>
    <row r="34" s="1" customFormat="true" ht="20" hidden="false" customHeight="false" outlineLevel="0" collapsed="false">
      <c r="M34" s="53"/>
      <c r="N34" s="48"/>
      <c r="O34" s="50"/>
      <c r="P34" s="54"/>
      <c r="Q34" s="50" t="str">
        <f aca="false">IF(Env_2026_10[[#This Row],[USD]]="","",Env_2026_10[[#This Row],[USD]]*Env_2026_10[[#This Row],[Tasa]])</f>
        <v/>
      </c>
    </row>
    <row r="35" s="1" customFormat="true" ht="6" hidden="false" customHeight="true" outlineLevel="0" collapsed="false">
      <c r="M35" s="38"/>
      <c r="N35" s="39"/>
      <c r="O35" s="39"/>
      <c r="P35" s="39"/>
      <c r="Q35" s="40"/>
    </row>
    <row r="37" s="1" customFormat="true" ht="26" hidden="false" customHeight="true" outlineLevel="0" collapsed="false">
      <c r="B37" s="41" t="s">
        <v>58</v>
      </c>
      <c r="C37" s="11"/>
      <c r="D37" s="11"/>
      <c r="E37" s="11"/>
      <c r="F37" s="11"/>
      <c r="G37" s="11"/>
      <c r="H37" s="42" t="str">
        <f aca="false">COUNT(Tx_2026_10[Monto])&amp;" transacciones · total "&amp;FIXED($T$5,2)&amp;" DOP"</f>
        <v>7 transacciones · total 10,845.00 DOP</v>
      </c>
      <c r="I37" s="42"/>
      <c r="J37" s="42"/>
      <c r="K37" s="42"/>
    </row>
    <row r="38" s="1" customFormat="true" ht="20" hidden="false" customHeight="false" outlineLevel="0" collapsed="false">
      <c r="B38" s="43" t="s">
        <v>53</v>
      </c>
      <c r="C38" s="44" t="s">
        <v>59</v>
      </c>
      <c r="D38" s="44" t="s">
        <v>60</v>
      </c>
      <c r="E38" s="44" t="s">
        <v>61</v>
      </c>
      <c r="F38" s="44" t="s">
        <v>62</v>
      </c>
      <c r="G38" s="45" t="s">
        <v>27</v>
      </c>
      <c r="H38" s="44" t="s">
        <v>28</v>
      </c>
      <c r="I38" s="45" t="s">
        <v>14</v>
      </c>
      <c r="J38" s="45" t="s">
        <v>10</v>
      </c>
      <c r="K38" s="44" t="s">
        <v>63</v>
      </c>
    </row>
    <row r="39" s="1" customFormat="true" ht="20" hidden="false" customHeight="false" outlineLevel="0" collapsed="false">
      <c r="B39" s="53" t="n">
        <v>46296</v>
      </c>
      <c r="C39" s="48" t="s">
        <v>64</v>
      </c>
      <c r="D39" s="55" t="s">
        <v>65</v>
      </c>
      <c r="E39" s="48" t="s">
        <v>34</v>
      </c>
      <c r="F39" s="55" t="s">
        <v>66</v>
      </c>
      <c r="G39" s="50" t="n">
        <v>4850</v>
      </c>
      <c r="H39" s="49" t="s">
        <v>14</v>
      </c>
      <c r="I39" s="51" t="n">
        <f aca="false">IF(Tx_2026_10[[#This Row],[Monto]]="","",IF(Tx_2026_10[[#This Row],[Moneda]]="USD",Tx_2026_10[[#This Row],[Monto]]*$T$3,Tx_2026_10[[#This Row],[Monto]]))</f>
        <v>4850</v>
      </c>
      <c r="J39" s="52" t="n">
        <f aca="false">IF(Tx_2026_10[[#This Row],[DOP]]="","",Tx_2026_10[[#This Row],[DOP]]/$T$3)</f>
        <v>82.5391422736556</v>
      </c>
      <c r="K39" s="56"/>
    </row>
    <row r="40" s="1" customFormat="true" ht="20" hidden="false" customHeight="false" outlineLevel="0" collapsed="false">
      <c r="B40" s="53" t="n">
        <v>46297</v>
      </c>
      <c r="C40" s="48" t="s">
        <v>100</v>
      </c>
      <c r="D40" s="55" t="s">
        <v>67</v>
      </c>
      <c r="E40" s="48" t="s">
        <v>36</v>
      </c>
      <c r="F40" s="55" t="s">
        <v>66</v>
      </c>
      <c r="G40" s="50" t="n">
        <v>320</v>
      </c>
      <c r="H40" s="49" t="s">
        <v>14</v>
      </c>
      <c r="I40" s="51" t="n">
        <f aca="false">IF(Tx_2026_10[[#This Row],[Monto]]="","",IF(Tx_2026_10[[#This Row],[Moneda]]="USD",Tx_2026_10[[#This Row],[Monto]]*$T$3,Tx_2026_10[[#This Row],[Monto]]))</f>
        <v>320</v>
      </c>
      <c r="J40" s="52" t="n">
        <f aca="false">IF(Tx_2026_10[[#This Row],[DOP]]="","",Tx_2026_10[[#This Row],[DOP]]/$T$3)</f>
        <v>5.44588155207624</v>
      </c>
      <c r="K40" s="56"/>
    </row>
    <row r="41" s="1" customFormat="true" ht="20" hidden="false" customHeight="false" outlineLevel="0" collapsed="false">
      <c r="B41" s="53" t="n">
        <v>46298</v>
      </c>
      <c r="C41" s="48" t="s">
        <v>68</v>
      </c>
      <c r="D41" s="55" t="s">
        <v>69</v>
      </c>
      <c r="E41" s="48" t="s">
        <v>32</v>
      </c>
      <c r="F41" s="55" t="s">
        <v>66</v>
      </c>
      <c r="G41" s="50" t="n">
        <v>1150</v>
      </c>
      <c r="H41" s="49" t="s">
        <v>14</v>
      </c>
      <c r="I41" s="51" t="n">
        <f aca="false">IF(Tx_2026_10[[#This Row],[Monto]]="","",IF(Tx_2026_10[[#This Row],[Moneda]]="USD",Tx_2026_10[[#This Row],[Monto]]*$T$3,Tx_2026_10[[#This Row],[Monto]]))</f>
        <v>1150</v>
      </c>
      <c r="J41" s="52" t="n">
        <f aca="false">IF(Tx_2026_10[[#This Row],[DOP]]="","",Tx_2026_10[[#This Row],[DOP]]/$T$3)</f>
        <v>19.571136827774</v>
      </c>
      <c r="K41" s="56"/>
    </row>
    <row r="42" s="1" customFormat="true" ht="20" hidden="false" customHeight="false" outlineLevel="0" collapsed="false">
      <c r="B42" s="53" t="n">
        <v>46299</v>
      </c>
      <c r="C42" s="48" t="s">
        <v>91</v>
      </c>
      <c r="D42" s="55" t="s">
        <v>92</v>
      </c>
      <c r="E42" s="48" t="s">
        <v>38</v>
      </c>
      <c r="F42" s="55" t="s">
        <v>74</v>
      </c>
      <c r="G42" s="50" t="n">
        <v>900</v>
      </c>
      <c r="H42" s="49" t="s">
        <v>14</v>
      </c>
      <c r="I42" s="51" t="n">
        <f aca="false">IF(Tx_2026_10[[#This Row],[Monto]]="","",IF(Tx_2026_10[[#This Row],[Moneda]]="USD",Tx_2026_10[[#This Row],[Monto]]*$T$3,Tx_2026_10[[#This Row],[Monto]]))</f>
        <v>900</v>
      </c>
      <c r="J42" s="52" t="n">
        <f aca="false">IF(Tx_2026_10[[#This Row],[DOP]]="","",Tx_2026_10[[#This Row],[DOP]]/$T$3)</f>
        <v>15.3165418652144</v>
      </c>
      <c r="K42" s="56"/>
    </row>
    <row r="43" s="1" customFormat="true" ht="20" hidden="false" customHeight="false" outlineLevel="0" collapsed="false">
      <c r="B43" s="53" t="n">
        <v>46300</v>
      </c>
      <c r="C43" s="48" t="s">
        <v>93</v>
      </c>
      <c r="D43" s="55" t="s">
        <v>94</v>
      </c>
      <c r="E43" s="48" t="s">
        <v>40</v>
      </c>
      <c r="F43" s="55" t="s">
        <v>66</v>
      </c>
      <c r="G43" s="50" t="n">
        <v>1240</v>
      </c>
      <c r="H43" s="49" t="s">
        <v>14</v>
      </c>
      <c r="I43" s="51" t="n">
        <f aca="false">IF(Tx_2026_10[[#This Row],[Monto]]="","",IF(Tx_2026_10[[#This Row],[Moneda]]="USD",Tx_2026_10[[#This Row],[Monto]]*$T$3,Tx_2026_10[[#This Row],[Monto]]))</f>
        <v>1240</v>
      </c>
      <c r="J43" s="52" t="n">
        <f aca="false">IF(Tx_2026_10[[#This Row],[DOP]]="","",Tx_2026_10[[#This Row],[DOP]]/$T$3)</f>
        <v>21.1027910142954</v>
      </c>
      <c r="K43" s="56"/>
    </row>
    <row r="44" s="1" customFormat="true" ht="20" hidden="false" customHeight="false" outlineLevel="0" collapsed="false">
      <c r="B44" s="53" t="n">
        <v>46301</v>
      </c>
      <c r="C44" s="48" t="s">
        <v>70</v>
      </c>
      <c r="D44" s="55" t="s">
        <v>90</v>
      </c>
      <c r="E44" s="48" t="s">
        <v>36</v>
      </c>
      <c r="F44" s="55" t="s">
        <v>66</v>
      </c>
      <c r="G44" s="50" t="n">
        <v>2000</v>
      </c>
      <c r="H44" s="49" t="s">
        <v>14</v>
      </c>
      <c r="I44" s="51" t="n">
        <f aca="false">IF(Tx_2026_10[[#This Row],[Monto]]="","",IF(Tx_2026_10[[#This Row],[Moneda]]="USD",Tx_2026_10[[#This Row],[Monto]]*$T$3,Tx_2026_10[[#This Row],[Monto]]))</f>
        <v>2000</v>
      </c>
      <c r="J44" s="52" t="n">
        <f aca="false">IF(Tx_2026_10[[#This Row],[DOP]]="","",Tx_2026_10[[#This Row],[DOP]]/$T$3)</f>
        <v>34.0367597004765</v>
      </c>
      <c r="K44" s="56"/>
    </row>
    <row r="45" s="1" customFormat="true" ht="20" hidden="false" customHeight="false" outlineLevel="0" collapsed="false">
      <c r="B45" s="53" t="n">
        <v>46302</v>
      </c>
      <c r="C45" s="48" t="s">
        <v>101</v>
      </c>
      <c r="D45" s="55" t="s">
        <v>102</v>
      </c>
      <c r="E45" s="48" t="s">
        <v>32</v>
      </c>
      <c r="F45" s="55" t="s">
        <v>66</v>
      </c>
      <c r="G45" s="50" t="n">
        <v>385</v>
      </c>
      <c r="H45" s="49" t="s">
        <v>14</v>
      </c>
      <c r="I45" s="51" t="n">
        <f aca="false">IF(Tx_2026_10[[#This Row],[Monto]]="","",IF(Tx_2026_10[[#This Row],[Moneda]]="USD",Tx_2026_10[[#This Row],[Monto]]*$T$3,Tx_2026_10[[#This Row],[Monto]]))</f>
        <v>385</v>
      </c>
      <c r="J45" s="52" t="n">
        <f aca="false">IF(Tx_2026_10[[#This Row],[DOP]]="","",Tx_2026_10[[#This Row],[DOP]]/$T$3)</f>
        <v>6.55207624234173</v>
      </c>
      <c r="K45" s="56"/>
    </row>
    <row r="46" s="1" customFormat="true" ht="20" hidden="false" customHeight="false" outlineLevel="0" collapsed="false">
      <c r="B46" s="53"/>
      <c r="C46" s="48"/>
      <c r="D46" s="55"/>
      <c r="E46" s="48"/>
      <c r="F46" s="55"/>
      <c r="G46" s="50"/>
      <c r="H46" s="49"/>
      <c r="I46" s="51" t="str">
        <f aca="false">IF(Tx_2026_10[[#This Row],[Monto]]="","",IF(Tx_2026_10[[#This Row],[Moneda]]="USD",Tx_2026_10[[#This Row],[Monto]]*$T$3,Tx_2026_10[[#This Row],[Monto]]))</f>
        <v/>
      </c>
      <c r="J46" s="52" t="str">
        <f aca="false">IF(Tx_2026_10[[#This Row],[DOP]]="","",Tx_2026_10[[#This Row],[DOP]]/$T$3)</f>
        <v/>
      </c>
      <c r="K46" s="56"/>
    </row>
    <row r="47" s="1" customFormat="true" ht="20" hidden="false" customHeight="false" outlineLevel="0" collapsed="false">
      <c r="B47" s="53"/>
      <c r="C47" s="48"/>
      <c r="D47" s="55"/>
      <c r="E47" s="48"/>
      <c r="F47" s="55"/>
      <c r="G47" s="50"/>
      <c r="H47" s="49"/>
      <c r="I47" s="51" t="str">
        <f aca="false">IF(Tx_2026_10[[#This Row],[Monto]]="","",IF(Tx_2026_10[[#This Row],[Moneda]]="USD",Tx_2026_10[[#This Row],[Monto]]*$T$3,Tx_2026_10[[#This Row],[Monto]]))</f>
        <v/>
      </c>
      <c r="J47" s="52" t="str">
        <f aca="false">IF(Tx_2026_10[[#This Row],[DOP]]="","",Tx_2026_10[[#This Row],[DOP]]/$T$3)</f>
        <v/>
      </c>
      <c r="K47" s="56"/>
    </row>
    <row r="48" s="1" customFormat="true" ht="20" hidden="false" customHeight="false" outlineLevel="0" collapsed="false">
      <c r="B48" s="53"/>
      <c r="C48" s="48"/>
      <c r="D48" s="55"/>
      <c r="E48" s="48"/>
      <c r="F48" s="55"/>
      <c r="G48" s="50"/>
      <c r="H48" s="49"/>
      <c r="I48" s="51" t="str">
        <f aca="false">IF(Tx_2026_10[[#This Row],[Monto]]="","",IF(Tx_2026_10[[#This Row],[Moneda]]="USD",Tx_2026_10[[#This Row],[Monto]]*$T$3,Tx_2026_10[[#This Row],[Monto]]))</f>
        <v/>
      </c>
      <c r="J48" s="52" t="str">
        <f aca="false">IF(Tx_2026_10[[#This Row],[DOP]]="","",Tx_2026_10[[#This Row],[DOP]]/$T$3)</f>
        <v/>
      </c>
      <c r="K48" s="56"/>
    </row>
    <row r="49" s="1" customFormat="true" ht="20" hidden="false" customHeight="false" outlineLevel="0" collapsed="false">
      <c r="B49" s="53"/>
      <c r="C49" s="48"/>
      <c r="D49" s="55"/>
      <c r="E49" s="48"/>
      <c r="F49" s="55"/>
      <c r="G49" s="50"/>
      <c r="H49" s="49"/>
      <c r="I49" s="51" t="str">
        <f aca="false">IF(Tx_2026_10[[#This Row],[Monto]]="","",IF(Tx_2026_10[[#This Row],[Moneda]]="USD",Tx_2026_10[[#This Row],[Monto]]*$T$3,Tx_2026_10[[#This Row],[Monto]]))</f>
        <v/>
      </c>
      <c r="J49" s="52" t="str">
        <f aca="false">IF(Tx_2026_10[[#This Row],[DOP]]="","",Tx_2026_10[[#This Row],[DOP]]/$T$3)</f>
        <v/>
      </c>
      <c r="K49" s="56"/>
    </row>
    <row r="50" s="1" customFormat="true" ht="20" hidden="false" customHeight="false" outlineLevel="0" collapsed="false">
      <c r="B50" s="53"/>
      <c r="C50" s="48"/>
      <c r="D50" s="55"/>
      <c r="E50" s="48"/>
      <c r="F50" s="55"/>
      <c r="G50" s="50"/>
      <c r="H50" s="49"/>
      <c r="I50" s="51" t="str">
        <f aca="false">IF(Tx_2026_10[[#This Row],[Monto]]="","",IF(Tx_2026_10[[#This Row],[Moneda]]="USD",Tx_2026_10[[#This Row],[Monto]]*$T$3,Tx_2026_10[[#This Row],[Monto]]))</f>
        <v/>
      </c>
      <c r="J50" s="52" t="str">
        <f aca="false">IF(Tx_2026_10[[#This Row],[DOP]]="","",Tx_2026_10[[#This Row],[DOP]]/$T$3)</f>
        <v/>
      </c>
      <c r="K50" s="56"/>
    </row>
    <row r="51" s="1" customFormat="true" ht="20" hidden="false" customHeight="false" outlineLevel="0" collapsed="false">
      <c r="B51" s="53"/>
      <c r="C51" s="48"/>
      <c r="D51" s="55"/>
      <c r="E51" s="48"/>
      <c r="F51" s="55"/>
      <c r="G51" s="50"/>
      <c r="H51" s="49"/>
      <c r="I51" s="51" t="str">
        <f aca="false">IF(Tx_2026_10[[#This Row],[Monto]]="","",IF(Tx_2026_10[[#This Row],[Moneda]]="USD",Tx_2026_10[[#This Row],[Monto]]*$T$3,Tx_2026_10[[#This Row],[Monto]]))</f>
        <v/>
      </c>
      <c r="J51" s="52" t="str">
        <f aca="false">IF(Tx_2026_10[[#This Row],[DOP]]="","",Tx_2026_10[[#This Row],[DOP]]/$T$3)</f>
        <v/>
      </c>
      <c r="K51" s="56"/>
    </row>
    <row r="52" s="1" customFormat="true" ht="20" hidden="false" customHeight="false" outlineLevel="0" collapsed="false">
      <c r="B52" s="53"/>
      <c r="C52" s="48"/>
      <c r="D52" s="55"/>
      <c r="E52" s="48"/>
      <c r="F52" s="55"/>
      <c r="G52" s="50"/>
      <c r="H52" s="49"/>
      <c r="I52" s="51" t="str">
        <f aca="false">IF(Tx_2026_10[[#This Row],[Monto]]="","",IF(Tx_2026_10[[#This Row],[Moneda]]="USD",Tx_2026_10[[#This Row],[Monto]]*$T$3,Tx_2026_10[[#This Row],[Monto]]))</f>
        <v/>
      </c>
      <c r="J52" s="52" t="str">
        <f aca="false">IF(Tx_2026_10[[#This Row],[DOP]]="","",Tx_2026_10[[#This Row],[DOP]]/$T$3)</f>
        <v/>
      </c>
      <c r="K52" s="56"/>
    </row>
    <row r="53" s="1" customFormat="true" ht="20" hidden="false" customHeight="false" outlineLevel="0" collapsed="false">
      <c r="B53" s="53"/>
      <c r="C53" s="48"/>
      <c r="D53" s="55"/>
      <c r="E53" s="48"/>
      <c r="F53" s="55"/>
      <c r="G53" s="50"/>
      <c r="H53" s="49"/>
      <c r="I53" s="51" t="str">
        <f aca="false">IF(Tx_2026_10[[#This Row],[Monto]]="","",IF(Tx_2026_10[[#This Row],[Moneda]]="USD",Tx_2026_10[[#This Row],[Monto]]*$T$3,Tx_2026_10[[#This Row],[Monto]]))</f>
        <v/>
      </c>
      <c r="J53" s="52" t="str">
        <f aca="false">IF(Tx_2026_10[[#This Row],[DOP]]="","",Tx_2026_10[[#This Row],[DOP]]/$T$3)</f>
        <v/>
      </c>
      <c r="K53" s="56"/>
    </row>
    <row r="54" s="1" customFormat="true" ht="20" hidden="false" customHeight="false" outlineLevel="0" collapsed="false">
      <c r="B54" s="53"/>
      <c r="C54" s="48"/>
      <c r="D54" s="55"/>
      <c r="E54" s="48"/>
      <c r="F54" s="55"/>
      <c r="G54" s="50"/>
      <c r="H54" s="49"/>
      <c r="I54" s="51" t="str">
        <f aca="false">IF(Tx_2026_10[[#This Row],[Monto]]="","",IF(Tx_2026_10[[#This Row],[Moneda]]="USD",Tx_2026_10[[#This Row],[Monto]]*$T$3,Tx_2026_10[[#This Row],[Monto]]))</f>
        <v/>
      </c>
      <c r="J54" s="52" t="str">
        <f aca="false">IF(Tx_2026_10[[#This Row],[DOP]]="","",Tx_2026_10[[#This Row],[DOP]]/$T$3)</f>
        <v/>
      </c>
      <c r="K54" s="56"/>
    </row>
    <row r="55" s="1" customFormat="true" ht="20" hidden="false" customHeight="false" outlineLevel="0" collapsed="false">
      <c r="B55" s="53"/>
      <c r="C55" s="48"/>
      <c r="D55" s="55"/>
      <c r="E55" s="48"/>
      <c r="F55" s="55"/>
      <c r="G55" s="50"/>
      <c r="H55" s="49"/>
      <c r="I55" s="51" t="str">
        <f aca="false">IF(Tx_2026_10[[#This Row],[Monto]]="","",IF(Tx_2026_10[[#This Row],[Moneda]]="USD",Tx_2026_10[[#This Row],[Monto]]*$T$3,Tx_2026_10[[#This Row],[Monto]]))</f>
        <v/>
      </c>
      <c r="J55" s="52" t="str">
        <f aca="false">IF(Tx_2026_10[[#This Row],[DOP]]="","",Tx_2026_10[[#This Row],[DOP]]/$T$3)</f>
        <v/>
      </c>
      <c r="K55" s="56"/>
    </row>
    <row r="56" s="1" customFormat="true" ht="20" hidden="false" customHeight="false" outlineLevel="0" collapsed="false">
      <c r="B56" s="53"/>
      <c r="C56" s="48"/>
      <c r="D56" s="55"/>
      <c r="E56" s="48"/>
      <c r="F56" s="55"/>
      <c r="G56" s="50"/>
      <c r="H56" s="49"/>
      <c r="I56" s="51" t="str">
        <f aca="false">IF(Tx_2026_10[[#This Row],[Monto]]="","",IF(Tx_2026_10[[#This Row],[Moneda]]="USD",Tx_2026_10[[#This Row],[Monto]]*$T$3,Tx_2026_10[[#This Row],[Monto]]))</f>
        <v/>
      </c>
      <c r="J56" s="52" t="str">
        <f aca="false">IF(Tx_2026_10[[#This Row],[DOP]]="","",Tx_2026_10[[#This Row],[DOP]]/$T$3)</f>
        <v/>
      </c>
      <c r="K56" s="56"/>
    </row>
    <row r="57" s="1" customFormat="true" ht="20" hidden="false" customHeight="false" outlineLevel="0" collapsed="false">
      <c r="B57" s="53"/>
      <c r="C57" s="48"/>
      <c r="D57" s="55"/>
      <c r="E57" s="48"/>
      <c r="F57" s="55"/>
      <c r="G57" s="50"/>
      <c r="H57" s="49"/>
      <c r="I57" s="51" t="str">
        <f aca="false">IF(Tx_2026_10[[#This Row],[Monto]]="","",IF(Tx_2026_10[[#This Row],[Moneda]]="USD",Tx_2026_10[[#This Row],[Monto]]*$T$3,Tx_2026_10[[#This Row],[Monto]]))</f>
        <v/>
      </c>
      <c r="J57" s="52" t="str">
        <f aca="false">IF(Tx_2026_10[[#This Row],[DOP]]="","",Tx_2026_10[[#This Row],[DOP]]/$T$3)</f>
        <v/>
      </c>
      <c r="K57" s="56"/>
    </row>
  </sheetData>
  <mergeCells count="38">
    <mergeCell ref="N1:Q1"/>
    <mergeCell ref="B5:D5"/>
    <mergeCell ref="B6:D6"/>
    <mergeCell ref="G6:H6"/>
    <mergeCell ref="O6:Q6"/>
    <mergeCell ref="G8:H8"/>
    <mergeCell ref="O8:Q8"/>
    <mergeCell ref="G9:H9"/>
    <mergeCell ref="O9:Q9"/>
    <mergeCell ref="G10:H10"/>
    <mergeCell ref="O10:Q10"/>
    <mergeCell ref="C11:D11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priority="2" operator="lessThan" aboveAverage="0" equalAverage="0" bottom="0" percent="0" rank="0" text="" dxfId="7">
      <formula>0</formula>
    </cfRule>
  </conditionalFormatting>
  <conditionalFormatting sqref="O9:O10">
    <cfRule type="cellIs" priority="3" operator="lessThan" aboveAverage="0" equalAverage="0" bottom="0" percent="0" rank="0" text="" dxfId="7">
      <formula>0</formula>
    </cfRule>
  </conditionalFormatting>
  <conditionalFormatting sqref="B16:B30">
    <cfRule type="cellIs" priority="4" operator="equal" aboveAverage="0" equalAverage="0" bottom="0" percent="0" rank="0" text="" dxfId="8">
      <formula>"Sí"</formula>
    </cfRule>
    <cfRule type="cellIs" priority="5" operator="equal" aboveAverage="0" equalAverage="0" bottom="0" percent="0" rank="0" text="" dxfId="9">
      <formula>"No"</formula>
    </cfRule>
  </conditionalFormatting>
  <conditionalFormatting sqref="O15:P15">
    <cfRule type="dataBar" priority="6">
      <dataBar showValue="0" minLength="10" maxLength="90">
        <cfvo type="num" val="0"/>
        <cfvo type="formula" val="MAX($Q$15:$Q$25)"/>
        <color rgb="FF2B3A33"/>
      </dataBar>
      <extLst>
        <ext xmlns:x14="http://schemas.microsoft.com/office/spreadsheetml/2009/9/main" uri="{B025F937-C7B1-47D3-B67F-A62EFF666E3E}">
          <x14:id>{DC255CBD-DD32-4E97-8482-5EE05DF855C3}</x14:id>
        </ext>
      </extLst>
    </cfRule>
  </conditionalFormatting>
  <conditionalFormatting sqref="O16:P25">
    <cfRule type="dataBar" priority="7">
      <dataBar showValue="0" minLength="10" maxLength="90">
        <cfvo type="num" val="0"/>
        <cfvo type="formula" val="MAX($Q$15:$Q$25)"/>
        <color rgb="FF2F7D52"/>
      </dataBar>
      <extLst>
        <ext xmlns:x14="http://schemas.microsoft.com/office/spreadsheetml/2009/9/main" uri="{B025F937-C7B1-47D3-B67F-A62EFF666E3E}">
          <x14:id>{3F63EA5B-9DE3-40B3-9DDA-128A10E0C21D}</x14:id>
        </ext>
      </extLst>
    </cfRule>
  </conditionalFormatting>
  <dataValidations count="6">
    <dataValidation allowBlank="true" errorStyle="stop" operator="between" showDropDown="false" showErrorMessage="true" showInputMessage="false" sqref="B16:B30" type="list">
      <formula1>"Sí,No"</formula1>
      <formula2>0</formula2>
    </dataValidation>
    <dataValidation allowBlank="true" errorStyle="stop" operator="between" showDropDown="false" showErrorMessage="true" showInputMessage="false" sqref="F16:F30" type="list">
      <formula1>"DOP,USD"</formula1>
      <formula2>0</formula2>
    </dataValidation>
    <dataValidation allowBlank="true" errorStyle="stop" operator="between" showDropDown="false" showErrorMessage="true" showInputMessage="false" sqref="N30:N34" type="list">
      <formula1>"Remitly,PayPal"</formula1>
      <formula2>0</formula2>
    </dataValidation>
    <dataValidation allowBlank="true" errorStyle="stop" operator="between" showDropDown="false" showErrorMessage="true" showInputMessage="false" sqref="E39:E1057" type="list">
      <formula1>Config!$E$4:$E$13</formula1>
      <formula2>0</formula2>
    </dataValidation>
    <dataValidation allowBlank="true" errorStyle="stop" operator="between" showDropDown="false" showErrorMessage="true" showInputMessage="false" sqref="F39:F1057" type="list">
      <formula1>Config!$F$4:$F$6</formula1>
      <formula2>0</formula2>
    </dataValidation>
    <dataValidation allowBlank="true" errorStyle="stop" operator="between" showDropDown="false" showErrorMessage="true" showInputMessage="false" sqref="H39:H1057" type="list">
      <formula1>"DOP,USD"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255CBD-DD32-4E97-8482-5EE05DF855C3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B3A33"/>
              <x14:axisColor rgb="FF000000"/>
            </x14:dataBar>
          </x14:cfRule>
          <xm:sqref>O15:P15</xm:sqref>
        </x14:conditionalFormatting>
        <x14:conditionalFormatting xmlns:xm="http://schemas.microsoft.com/office/excel/2006/main">
          <x14:cfRule type="dataBar" id="{3F63EA5B-9DE3-40B3-9DDA-128A10E0C21D}">
            <x14:dataBar minLength="10" maxLength="90" axisPosition="none" gradient="true">
              <x14:cfvo type="num">
                <xm:f>0</xm:f>
              </x14:cfvo>
              <x14:cfvo type="formula">
                <xm:f>MAX($Q$15:$Q$25)</xm:f>
              </x14:cfvo>
              <x14:negativeFillColor rgb="FF2F7D52"/>
              <x14:axisColor rgb="FF000000"/>
            </x14:dataBar>
          </x14:cfRule>
          <xm:sqref>O16:P25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1F1C"/>
    <pageSetUpPr fitToPage="false"/>
  </sheetPr>
  <dimension ref="A1:R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7"/>
    <col collapsed="false" customWidth="true" hidden="false" outlineLevel="0" max="3" min="3" style="1" width="13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3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19"/>
    <col collapsed="false" customWidth="true" hidden="false" outlineLevel="0" max="12" min="12" style="1" width="11"/>
    <col collapsed="false" customWidth="true" hidden="false" outlineLevel="0" max="13" min="13" style="1" width="8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7" min="16" style="1" width="2"/>
    <col collapsed="false" customWidth="true" hidden="true" outlineLevel="0" max="18" min="18" style="1" width="14"/>
    <col collapsed="false" customWidth="true" hidden="false" outlineLevel="0" max="60" min="19" style="1" width="9"/>
  </cols>
  <sheetData>
    <row r="1" s="1" customFormat="true" ht="26" hidden="false" customHeight="true" outlineLevel="0" collapsed="false">
      <c r="A1" s="2"/>
      <c r="B1" s="3" t="s">
        <v>0</v>
      </c>
      <c r="C1" s="2"/>
      <c r="D1" s="4" t="s">
        <v>103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1" customFormat="true" ht="8" hidden="false" customHeight="true" outlineLevel="0" collapsed="false">
      <c r="R2" s="8" t="s">
        <v>4</v>
      </c>
    </row>
    <row r="3" s="1" customFormat="true" ht="16" hidden="false" customHeight="true" outlineLevel="0" collapsed="false">
      <c r="B3" s="10" t="s">
        <v>104</v>
      </c>
      <c r="C3" s="14" t="s">
        <v>105</v>
      </c>
      <c r="D3" s="14"/>
      <c r="E3" s="14"/>
      <c r="F3" s="14" t="s">
        <v>106</v>
      </c>
      <c r="G3" s="11"/>
      <c r="H3" s="11"/>
      <c r="I3" s="14" t="s">
        <v>107</v>
      </c>
      <c r="J3" s="11"/>
      <c r="K3" s="14" t="s">
        <v>108</v>
      </c>
      <c r="L3" s="11"/>
      <c r="M3" s="11"/>
      <c r="N3" s="14" t="s">
        <v>109</v>
      </c>
      <c r="O3" s="12"/>
      <c r="R3" s="9" t="n">
        <f aca="true">IFERROR(INDIRECT("'"&amp;Config!$C$5&amp;"'!T3"),Config!$C$4)</f>
        <v>58.76</v>
      </c>
    </row>
    <row r="4" s="1" customFormat="true" ht="24" hidden="false" customHeight="true" outlineLevel="0" collapsed="false">
      <c r="B4" s="57" t="str">
        <f aca="false">Config!$C$5</f>
        <v>Octubre 2026</v>
      </c>
      <c r="C4" s="58" t="n">
        <f aca="true">IFERROR(INDIRECT("'"&amp;Config!$C$5&amp;"'!B5"),"")</f>
        <v>340243.2</v>
      </c>
      <c r="D4" s="58"/>
      <c r="E4" s="58"/>
      <c r="F4" s="59" t="n">
        <f aca="true">IFERROR(INDIRECT("'"&amp;Config!$C$5&amp;"'!O6"),"")</f>
        <v>70000</v>
      </c>
      <c r="G4" s="59"/>
      <c r="H4" s="59"/>
      <c r="I4" s="59" t="n">
        <f aca="true">IFERROR(INDIRECT("'"&amp;Config!$C$5&amp;"'!T8"),"")</f>
        <v>49149.71</v>
      </c>
      <c r="J4" s="59"/>
      <c r="K4" s="60" t="n">
        <f aca="true">IFERROR(INDIRECT("'"&amp;Config!$C$5&amp;"'!O9"),"")</f>
        <v>20850.29</v>
      </c>
      <c r="L4" s="60"/>
      <c r="M4" s="60"/>
      <c r="N4" s="61" t="n">
        <f aca="true">IFERROR(INDIRECT("'"&amp;Config!$C$5&amp;"'!T3"),Config!$C$4)</f>
        <v>58.76</v>
      </c>
      <c r="O4" s="61"/>
      <c r="R4" s="9" t="n">
        <f aca="false">J12*((YEAR(N12)-YEAR(L12))*12+MONTH(N12)-MONTH(L12)+1)</f>
        <v>45000</v>
      </c>
    </row>
    <row r="5" s="1" customFormat="true" ht="10" hidden="false" customHeight="true" outlineLevel="0" collapsed="false">
      <c r="R5" s="9" t="n">
        <f aca="false">SUMIFS(Aportes[USD],Aportes[Meta],"Viaje a Turquía")</f>
        <v>9000</v>
      </c>
    </row>
    <row r="6" s="1" customFormat="true" ht="24" hidden="false" customHeight="true" outlineLevel="0" collapsed="false">
      <c r="B6" s="41" t="s">
        <v>110</v>
      </c>
      <c r="C6" s="11"/>
      <c r="D6" s="12"/>
      <c r="E6" s="41" t="s">
        <v>111</v>
      </c>
      <c r="F6" s="11"/>
      <c r="G6" s="12"/>
      <c r="I6" s="41" t="s">
        <v>112</v>
      </c>
      <c r="J6" s="11"/>
      <c r="K6" s="11"/>
      <c r="L6" s="42" t="str">
        <f aca="false">FIXED(J12,0)&amp;" USD / mes"</f>
        <v>3,000 USD / mes</v>
      </c>
      <c r="M6" s="42"/>
      <c r="N6" s="42"/>
      <c r="O6" s="42"/>
      <c r="R6" s="9" t="n">
        <f aca="false">MAX(1,(YEAR(N12)-YEAR(TODAY()))*12+MONTH(N12)-MONTH(TODAY())+1-IF(COUNTIFS(Aportes[Meta],"Viaje a Turquía",Aportes[Mes],Config!$C$5)&gt;0,1,0))</f>
        <v>12</v>
      </c>
    </row>
    <row r="7" s="1" customFormat="true" ht="16" hidden="false" customHeight="true" outlineLevel="0" collapsed="false">
      <c r="B7" s="62" t="s">
        <v>113</v>
      </c>
      <c r="C7" s="17"/>
      <c r="D7" s="18"/>
      <c r="E7" s="62" t="s">
        <v>113</v>
      </c>
      <c r="F7" s="17"/>
      <c r="G7" s="18"/>
      <c r="I7" s="63" t="str">
        <f aca="false">"Faltan "&amp;$R$6&amp;" aportes · "&amp;FIXED($R$7,0)&amp;" USD por mes para llegar"</f>
        <v>Faltan 12 aportes · 3,000 USD por mes para llegar</v>
      </c>
      <c r="J7" s="63"/>
      <c r="K7" s="63"/>
      <c r="L7" s="63"/>
      <c r="M7" s="63"/>
      <c r="N7" s="63"/>
      <c r="O7" s="63"/>
      <c r="R7" s="9" t="n">
        <f aca="false">MAX(0,R4-R5)/R6</f>
        <v>3000</v>
      </c>
    </row>
    <row r="8" s="1" customFormat="true" ht="28" hidden="false" customHeight="true" outlineLevel="0" collapsed="false">
      <c r="B8" s="64" t="n">
        <f aca="false">SUMIFS(Aportes[USD],Aportes[Meta],"Fondo de emergencia")</f>
        <v>1200</v>
      </c>
      <c r="C8" s="64"/>
      <c r="D8" s="64"/>
      <c r="E8" s="64" t="n">
        <f aca="false">SUMIFS(Aportes[USD],Aportes[Meta],"Ahorro personal")</f>
        <v>450</v>
      </c>
      <c r="F8" s="64"/>
      <c r="G8" s="64"/>
      <c r="I8" s="65" t="n">
        <f aca="false">$R$5</f>
        <v>9000</v>
      </c>
      <c r="J8" s="65"/>
      <c r="K8" s="65"/>
      <c r="L8" s="66" t="n">
        <f aca="false">$R$5*$R$3</f>
        <v>528840</v>
      </c>
      <c r="M8" s="66"/>
      <c r="N8" s="66"/>
      <c r="O8" s="66"/>
      <c r="R8" s="9" t="n">
        <f aca="false">IF(R4=0,0,R5/R4)</f>
        <v>0.2</v>
      </c>
    </row>
    <row r="9" s="1" customFormat="true" ht="16" hidden="false" customHeight="true" outlineLevel="0" collapsed="false">
      <c r="B9" s="67" t="n">
        <f aca="false">B8*$R$3</f>
        <v>70512</v>
      </c>
      <c r="C9" s="67"/>
      <c r="D9" s="67"/>
      <c r="E9" s="67" t="n">
        <f aca="false">E8*$R$3</f>
        <v>26442</v>
      </c>
      <c r="F9" s="67"/>
      <c r="G9" s="67"/>
      <c r="I9" s="16"/>
      <c r="J9" s="17"/>
      <c r="K9" s="17"/>
      <c r="L9" s="17"/>
      <c r="M9" s="17"/>
      <c r="N9" s="17"/>
      <c r="O9" s="18"/>
    </row>
    <row r="10" s="1" customFormat="true" ht="14" hidden="false" customHeight="true" outlineLevel="0" collapsed="false">
      <c r="B10" s="16"/>
      <c r="C10" s="17"/>
      <c r="D10" s="18"/>
      <c r="E10" s="16"/>
      <c r="F10" s="17"/>
      <c r="G10" s="18"/>
      <c r="I10" s="68" t="n">
        <f aca="false">$R$8</f>
        <v>0.2</v>
      </c>
      <c r="J10" s="68"/>
      <c r="K10" s="68"/>
      <c r="L10" s="68"/>
      <c r="M10" s="68"/>
      <c r="N10" s="68"/>
      <c r="O10" s="68"/>
    </row>
    <row r="11" s="1" customFormat="true" ht="20" hidden="false" customHeight="true" outlineLevel="0" collapsed="false">
      <c r="B11" s="63" t="str">
        <f aca="false">COUNTIFS(Aportes[Meta],"Fondo de emergencia")&amp;" aportes registrados"</f>
        <v>3 aportes registrados</v>
      </c>
      <c r="C11" s="63"/>
      <c r="D11" s="63"/>
      <c r="E11" s="63" t="str">
        <f aca="false">COUNTIFS(Aportes[Meta],"Ahorro personal")&amp;" aportes registrados"</f>
        <v>2 aportes registrados</v>
      </c>
      <c r="F11" s="63"/>
      <c r="G11" s="63"/>
      <c r="I11" s="69" t="str">
        <f aca="false">FIXED(100*$R$8,0)&amp;"% de "&amp;FIXED($R$4,0)&amp;" USD"</f>
        <v>20% de 45,000 USD</v>
      </c>
      <c r="J11" s="69"/>
      <c r="K11" s="69"/>
      <c r="L11" s="70" t="str">
        <f aca="false">"Meta: "&amp;LOWER(CHOOSE(MONTH(N12),"Enero","Febrero","Marzo","Abril","Mayo","Junio","Julio","Agosto","Septiembre","Octubre","Noviembre","Diciembre"))&amp;" "&amp;YEAR(N12)</f>
        <v>Meta: octubre 2027</v>
      </c>
      <c r="M11" s="70"/>
      <c r="N11" s="70"/>
      <c r="O11" s="70"/>
    </row>
    <row r="12" s="1" customFormat="true" ht="24" hidden="false" customHeight="true" outlineLevel="0" collapsed="false">
      <c r="B12" s="38"/>
      <c r="C12" s="39"/>
      <c r="D12" s="40"/>
      <c r="E12" s="38"/>
      <c r="F12" s="39"/>
      <c r="G12" s="40"/>
      <c r="I12" s="71" t="s">
        <v>114</v>
      </c>
      <c r="J12" s="72" t="n">
        <v>3000</v>
      </c>
      <c r="K12" s="73" t="s">
        <v>115</v>
      </c>
      <c r="L12" s="74" t="n">
        <v>46235</v>
      </c>
      <c r="M12" s="73" t="s">
        <v>116</v>
      </c>
      <c r="N12" s="75" t="n">
        <v>46661</v>
      </c>
      <c r="O12" s="75"/>
    </row>
    <row r="13" s="1" customFormat="true" ht="10" hidden="false" customHeight="true" outlineLevel="0" collapsed="false"/>
    <row r="14" s="1" customFormat="true" ht="26" hidden="false" customHeight="true" outlineLevel="0" collapsed="false">
      <c r="B14" s="41" t="s">
        <v>117</v>
      </c>
      <c r="C14" s="11"/>
      <c r="D14" s="11"/>
      <c r="E14" s="11"/>
      <c r="F14" s="11"/>
      <c r="G14" s="12"/>
      <c r="I14" s="41" t="s">
        <v>118</v>
      </c>
      <c r="J14" s="11"/>
      <c r="K14" s="11"/>
      <c r="L14" s="42" t="str">
        <f aca="false">"Total "&amp;FIXED(SUM(Aportes[USD]),2)&amp;" USD"</f>
        <v>Total 10,650.00 USD</v>
      </c>
      <c r="M14" s="42"/>
      <c r="N14" s="42"/>
      <c r="O14" s="42"/>
    </row>
    <row r="15" s="1" customFormat="true" ht="20" hidden="false" customHeight="false" outlineLevel="0" collapsed="false">
      <c r="B15" s="43" t="s">
        <v>119</v>
      </c>
      <c r="C15" s="45" t="s">
        <v>120</v>
      </c>
      <c r="D15" s="45" t="s">
        <v>55</v>
      </c>
      <c r="E15" s="45" t="s">
        <v>121</v>
      </c>
      <c r="F15" s="45" t="s">
        <v>122</v>
      </c>
      <c r="G15" s="45" t="s">
        <v>123</v>
      </c>
      <c r="I15" s="43" t="s">
        <v>53</v>
      </c>
      <c r="J15" s="44" t="s">
        <v>119</v>
      </c>
      <c r="K15" s="44" t="s">
        <v>124</v>
      </c>
      <c r="L15" s="45" t="s">
        <v>27</v>
      </c>
      <c r="M15" s="44" t="s">
        <v>28</v>
      </c>
      <c r="N15" s="45" t="s">
        <v>10</v>
      </c>
      <c r="O15" s="45" t="s">
        <v>14</v>
      </c>
    </row>
    <row r="16" s="1" customFormat="true" ht="20" hidden="false" customHeight="false" outlineLevel="0" collapsed="false">
      <c r="B16" s="76" t="s">
        <v>1</v>
      </c>
      <c r="C16" s="50" t="n">
        <f aca="true">IFERROR(INDIRECT("'"&amp;B16&amp;"'!C10"),"")</f>
        <v>5800</v>
      </c>
      <c r="D16" s="77" t="n">
        <f aca="true">IFERROR(INDIRECT("'"&amp;B16&amp;"'!T3"),"")</f>
        <v>58.1833333333333</v>
      </c>
      <c r="E16" s="50" t="n">
        <f aca="false">IF(C16="","",C16*D16)</f>
        <v>337463.333333333</v>
      </c>
      <c r="F16" s="50" t="n">
        <f aca="false">IF(C16="","",SUMIFS(Aportes[USD],Aportes[Mes],B16))</f>
        <v>3650</v>
      </c>
      <c r="G16" s="78" t="n">
        <f aca="false">IF(OR(C16="",C16=0),"",F16/C16)</f>
        <v>0.629310344827586</v>
      </c>
      <c r="I16" s="53" t="n">
        <v>46237</v>
      </c>
      <c r="J16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>Agosto 2026</v>
      </c>
      <c r="K16" s="48" t="s">
        <v>112</v>
      </c>
      <c r="L16" s="50" t="n">
        <v>3000</v>
      </c>
      <c r="M16" s="49" t="s">
        <v>10</v>
      </c>
      <c r="N16" s="51" t="n">
        <f aca="false">IF(Aportes[[#This Row],[Monto]]="","",IF(Aportes[[#This Row],[Moneda]]="USD",Aportes[[#This Row],[Monto]],Aportes[[#This Row],[Monto]]/IFERROR(INDIRECT("'"&amp;Aportes[[#This Row],[Mes]]&amp;"'!T3"),Config!$C$4)))</f>
        <v>3000</v>
      </c>
      <c r="O16" s="52" t="n">
        <f aca="false">IF(Aportes[[#This Row],[USD]]="","",Aportes[[#This Row],[USD]]*IFERROR(INDIRECT("'"&amp;Aportes[[#This Row],[Mes]]&amp;"'!T3"),Config!$C$4))</f>
        <v>174550</v>
      </c>
    </row>
    <row r="17" s="1" customFormat="true" ht="20" hidden="false" customHeight="false" outlineLevel="0" collapsed="false">
      <c r="B17" s="76" t="s">
        <v>85</v>
      </c>
      <c r="C17" s="50" t="n">
        <f aca="true">IFERROR(INDIRECT("'"&amp;B17&amp;"'!C10"),"")</f>
        <v>5800</v>
      </c>
      <c r="D17" s="77" t="n">
        <f aca="true">IFERROR(INDIRECT("'"&amp;B17&amp;"'!T3"),"")</f>
        <v>58.574347826087</v>
      </c>
      <c r="E17" s="50" t="n">
        <f aca="false">IF(C17="","",C17*D17)</f>
        <v>339731.217391304</v>
      </c>
      <c r="F17" s="50" t="n">
        <f aca="false">IF(C17="","",SUMIFS(Aportes[USD],Aportes[Mes],B17))</f>
        <v>3500</v>
      </c>
      <c r="G17" s="78" t="n">
        <f aca="false">IF(OR(C17="",C17=0),"",F17/C17)</f>
        <v>0.603448275862069</v>
      </c>
      <c r="I17" s="53" t="n">
        <v>46237</v>
      </c>
      <c r="J17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>Agosto 2026</v>
      </c>
      <c r="K17" s="48" t="s">
        <v>110</v>
      </c>
      <c r="L17" s="50" t="n">
        <v>400</v>
      </c>
      <c r="M17" s="49" t="s">
        <v>10</v>
      </c>
      <c r="N17" s="51" t="n">
        <f aca="false">IF(Aportes[[#This Row],[Monto]]="","",IF(Aportes[[#This Row],[Moneda]]="USD",Aportes[[#This Row],[Monto]],Aportes[[#This Row],[Monto]]/IFERROR(INDIRECT("'"&amp;Aportes[[#This Row],[Mes]]&amp;"'!T3"),Config!$C$4)))</f>
        <v>400</v>
      </c>
      <c r="O17" s="52" t="n">
        <f aca="false">IF(Aportes[[#This Row],[USD]]="","",Aportes[[#This Row],[USD]]*IFERROR(INDIRECT("'"&amp;Aportes[[#This Row],[Mes]]&amp;"'!T3"),Config!$C$4))</f>
        <v>23273.3333333333</v>
      </c>
    </row>
    <row r="18" s="1" customFormat="true" ht="20" hidden="false" customHeight="false" outlineLevel="0" collapsed="false">
      <c r="B18" s="76" t="s">
        <v>98</v>
      </c>
      <c r="C18" s="50" t="n">
        <f aca="true">IFERROR(INDIRECT("'"&amp;B18&amp;"'!C10"),"")</f>
        <v>5800</v>
      </c>
      <c r="D18" s="77" t="n">
        <f aca="true">IFERROR(INDIRECT("'"&amp;B18&amp;"'!T3"),"")</f>
        <v>58.76</v>
      </c>
      <c r="E18" s="50" t="n">
        <f aca="false">IF(C18="","",C18*D18)</f>
        <v>340808</v>
      </c>
      <c r="F18" s="50" t="n">
        <f aca="false">IF(C18="","",SUMIFS(Aportes[USD],Aportes[Mes],B18))</f>
        <v>3500</v>
      </c>
      <c r="G18" s="78" t="n">
        <f aca="false">IF(OR(C18="",C18=0),"",F18/C18)</f>
        <v>0.603448275862069</v>
      </c>
      <c r="I18" s="53" t="n">
        <v>46254</v>
      </c>
      <c r="J18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>Agosto 2026</v>
      </c>
      <c r="K18" s="48" t="s">
        <v>111</v>
      </c>
      <c r="L18" s="50" t="n">
        <v>250</v>
      </c>
      <c r="M18" s="49" t="s">
        <v>10</v>
      </c>
      <c r="N18" s="51" t="n">
        <f aca="false">IF(Aportes[[#This Row],[Monto]]="","",IF(Aportes[[#This Row],[Moneda]]="USD",Aportes[[#This Row],[Monto]],Aportes[[#This Row],[Monto]]/IFERROR(INDIRECT("'"&amp;Aportes[[#This Row],[Mes]]&amp;"'!T3"),Config!$C$4)))</f>
        <v>250</v>
      </c>
      <c r="O18" s="52" t="n">
        <f aca="false">IF(Aportes[[#This Row],[USD]]="","",Aportes[[#This Row],[USD]]*IFERROR(INDIRECT("'"&amp;Aportes[[#This Row],[Mes]]&amp;"'!T3"),Config!$C$4))</f>
        <v>14545.8333333333</v>
      </c>
    </row>
    <row r="19" s="1" customFormat="true" ht="20" hidden="false" customHeight="false" outlineLevel="0" collapsed="false">
      <c r="B19" s="76" t="s">
        <v>125</v>
      </c>
      <c r="C19" s="50" t="e">
        <f aca="true">IFERROR(INDIRECT("'"&amp;B19&amp;"'!C10"),"")</f>
        <v>#REF!</v>
      </c>
      <c r="D19" s="77" t="e">
        <f aca="true">IFERROR(INDIRECT("'"&amp;B19&amp;"'!T3"),"")</f>
        <v>#REF!</v>
      </c>
      <c r="E19" s="50" t="e">
        <f aca="false">IF(C19="","",C19*D19)</f>
        <v>#REF!</v>
      </c>
      <c r="F19" s="50" t="e">
        <f aca="false">IF(C19="","",SUMIFS(Aportes[USD],Aportes[Mes],B19))</f>
        <v>#REF!</v>
      </c>
      <c r="G19" s="78" t="e">
        <f aca="false">IF(OR(C19="",C19=0),"",F19/C19)</f>
        <v>#REF!</v>
      </c>
      <c r="I19" s="53" t="n">
        <v>46267</v>
      </c>
      <c r="J19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>Septiembre 2026</v>
      </c>
      <c r="K19" s="48" t="s">
        <v>112</v>
      </c>
      <c r="L19" s="50" t="n">
        <v>3000</v>
      </c>
      <c r="M19" s="49" t="s">
        <v>10</v>
      </c>
      <c r="N19" s="51" t="n">
        <f aca="false">IF(Aportes[[#This Row],[Monto]]="","",IF(Aportes[[#This Row],[Moneda]]="USD",Aportes[[#This Row],[Monto]],Aportes[[#This Row],[Monto]]/IFERROR(INDIRECT("'"&amp;Aportes[[#This Row],[Mes]]&amp;"'!T3"),Config!$C$4)))</f>
        <v>3000</v>
      </c>
      <c r="O19" s="52" t="n">
        <f aca="false">IF(Aportes[[#This Row],[USD]]="","",Aportes[[#This Row],[USD]]*IFERROR(INDIRECT("'"&amp;Aportes[[#This Row],[Mes]]&amp;"'!T3"),Config!$C$4))</f>
        <v>175723.043478261</v>
      </c>
    </row>
    <row r="20" s="1" customFormat="true" ht="20" hidden="false" customHeight="false" outlineLevel="0" collapsed="false">
      <c r="B20" s="76" t="s">
        <v>126</v>
      </c>
      <c r="C20" s="50" t="e">
        <f aca="true">IFERROR(INDIRECT("'"&amp;B20&amp;"'!C10"),"")</f>
        <v>#REF!</v>
      </c>
      <c r="D20" s="77" t="e">
        <f aca="true">IFERROR(INDIRECT("'"&amp;B20&amp;"'!T3"),"")</f>
        <v>#REF!</v>
      </c>
      <c r="E20" s="50" t="e">
        <f aca="false">IF(C20="","",C20*D20)</f>
        <v>#REF!</v>
      </c>
      <c r="F20" s="50" t="e">
        <f aca="false">IF(C20="","",SUMIFS(Aportes[USD],Aportes[Mes],B20))</f>
        <v>#REF!</v>
      </c>
      <c r="G20" s="78" t="e">
        <f aca="false">IF(OR(C20="",C20=0),"",F20/C20)</f>
        <v>#REF!</v>
      </c>
      <c r="I20" s="53" t="n">
        <v>46267</v>
      </c>
      <c r="J20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>Septiembre 2026</v>
      </c>
      <c r="K20" s="48" t="s">
        <v>110</v>
      </c>
      <c r="L20" s="50" t="n">
        <v>300</v>
      </c>
      <c r="M20" s="49" t="s">
        <v>10</v>
      </c>
      <c r="N20" s="51" t="n">
        <f aca="false">IF(Aportes[[#This Row],[Monto]]="","",IF(Aportes[[#This Row],[Moneda]]="USD",Aportes[[#This Row],[Monto]],Aportes[[#This Row],[Monto]]/IFERROR(INDIRECT("'"&amp;Aportes[[#This Row],[Mes]]&amp;"'!T3"),Config!$C$4)))</f>
        <v>300</v>
      </c>
      <c r="O20" s="52" t="n">
        <f aca="false">IF(Aportes[[#This Row],[USD]]="","",Aportes[[#This Row],[USD]]*IFERROR(INDIRECT("'"&amp;Aportes[[#This Row],[Mes]]&amp;"'!T3"),Config!$C$4))</f>
        <v>17572.3043478261</v>
      </c>
    </row>
    <row r="21" s="1" customFormat="true" ht="20" hidden="false" customHeight="false" outlineLevel="0" collapsed="false">
      <c r="B21" s="76" t="s">
        <v>127</v>
      </c>
      <c r="C21" s="50" t="e">
        <f aca="true">IFERROR(INDIRECT("'"&amp;B21&amp;"'!C10"),"")</f>
        <v>#REF!</v>
      </c>
      <c r="D21" s="77" t="e">
        <f aca="true">IFERROR(INDIRECT("'"&amp;B21&amp;"'!T3"),"")</f>
        <v>#REF!</v>
      </c>
      <c r="E21" s="50" t="e">
        <f aca="false">IF(C21="","",C21*D21)</f>
        <v>#REF!</v>
      </c>
      <c r="F21" s="50" t="e">
        <f aca="false">IF(C21="","",SUMIFS(Aportes[USD],Aportes[Mes],B21))</f>
        <v>#REF!</v>
      </c>
      <c r="G21" s="78" t="e">
        <f aca="false">IF(OR(C21="",C21=0),"",F21/C21)</f>
        <v>#REF!</v>
      </c>
      <c r="I21" s="53" t="n">
        <v>46283</v>
      </c>
      <c r="J21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>Septiembre 2026</v>
      </c>
      <c r="K21" s="48" t="s">
        <v>111</v>
      </c>
      <c r="L21" s="50" t="n">
        <v>200</v>
      </c>
      <c r="M21" s="49" t="s">
        <v>10</v>
      </c>
      <c r="N21" s="51" t="n">
        <f aca="false">IF(Aportes[[#This Row],[Monto]]="","",IF(Aportes[[#This Row],[Moneda]]="USD",Aportes[[#This Row],[Monto]],Aportes[[#This Row],[Monto]]/IFERROR(INDIRECT("'"&amp;Aportes[[#This Row],[Mes]]&amp;"'!T3"),Config!$C$4)))</f>
        <v>200</v>
      </c>
      <c r="O21" s="52" t="n">
        <f aca="false">IF(Aportes[[#This Row],[USD]]="","",Aportes[[#This Row],[USD]]*IFERROR(INDIRECT("'"&amp;Aportes[[#This Row],[Mes]]&amp;"'!T3"),Config!$C$4))</f>
        <v>11714.8695652174</v>
      </c>
    </row>
    <row r="22" s="1" customFormat="true" ht="20" hidden="false" customHeight="false" outlineLevel="0" collapsed="false">
      <c r="B22" s="76" t="s">
        <v>128</v>
      </c>
      <c r="C22" s="50" t="e">
        <f aca="true">IFERROR(INDIRECT("'"&amp;B22&amp;"'!C10"),"")</f>
        <v>#REF!</v>
      </c>
      <c r="D22" s="77" t="e">
        <f aca="true">IFERROR(INDIRECT("'"&amp;B22&amp;"'!T3"),"")</f>
        <v>#REF!</v>
      </c>
      <c r="E22" s="50" t="e">
        <f aca="false">IF(C22="","",C22*D22)</f>
        <v>#REF!</v>
      </c>
      <c r="F22" s="50" t="e">
        <f aca="false">IF(C22="","",SUMIFS(Aportes[USD],Aportes[Mes],B22))</f>
        <v>#REF!</v>
      </c>
      <c r="G22" s="78" t="e">
        <f aca="false">IF(OR(C22="",C22=0),"",F22/C22)</f>
        <v>#REF!</v>
      </c>
      <c r="I22" s="53" t="n">
        <v>46298</v>
      </c>
      <c r="J22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>Octubre 2026</v>
      </c>
      <c r="K22" s="48" t="s">
        <v>112</v>
      </c>
      <c r="L22" s="50" t="n">
        <v>3000</v>
      </c>
      <c r="M22" s="49" t="s">
        <v>10</v>
      </c>
      <c r="N22" s="51" t="n">
        <f aca="false">IF(Aportes[[#This Row],[Monto]]="","",IF(Aportes[[#This Row],[Moneda]]="USD",Aportes[[#This Row],[Monto]],Aportes[[#This Row],[Monto]]/IFERROR(INDIRECT("'"&amp;Aportes[[#This Row],[Mes]]&amp;"'!T3"),Config!$C$4)))</f>
        <v>3000</v>
      </c>
      <c r="O22" s="52" t="n">
        <f aca="false">IF(Aportes[[#This Row],[USD]]="","",Aportes[[#This Row],[USD]]*IFERROR(INDIRECT("'"&amp;Aportes[[#This Row],[Mes]]&amp;"'!T3"),Config!$C$4))</f>
        <v>176280</v>
      </c>
    </row>
    <row r="23" s="1" customFormat="true" ht="20" hidden="false" customHeight="false" outlineLevel="0" collapsed="false">
      <c r="B23" s="76" t="s">
        <v>129</v>
      </c>
      <c r="C23" s="50" t="e">
        <f aca="true">IFERROR(INDIRECT("'"&amp;B23&amp;"'!C10"),"")</f>
        <v>#REF!</v>
      </c>
      <c r="D23" s="77" t="e">
        <f aca="true">IFERROR(INDIRECT("'"&amp;B23&amp;"'!T3"),"")</f>
        <v>#REF!</v>
      </c>
      <c r="E23" s="50" t="e">
        <f aca="false">IF(C23="","",C23*D23)</f>
        <v>#REF!</v>
      </c>
      <c r="F23" s="50" t="e">
        <f aca="false">IF(C23="","",SUMIFS(Aportes[USD],Aportes[Mes],B23))</f>
        <v>#REF!</v>
      </c>
      <c r="G23" s="78" t="e">
        <f aca="false">IF(OR(C23="",C23=0),"",F23/C23)</f>
        <v>#REF!</v>
      </c>
      <c r="I23" s="53" t="n">
        <v>46298</v>
      </c>
      <c r="J23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>Octubre 2026</v>
      </c>
      <c r="K23" s="48" t="s">
        <v>110</v>
      </c>
      <c r="L23" s="50" t="n">
        <v>500</v>
      </c>
      <c r="M23" s="49" t="s">
        <v>10</v>
      </c>
      <c r="N23" s="51" t="n">
        <f aca="false">IF(Aportes[[#This Row],[Monto]]="","",IF(Aportes[[#This Row],[Moneda]]="USD",Aportes[[#This Row],[Monto]],Aportes[[#This Row],[Monto]]/IFERROR(INDIRECT("'"&amp;Aportes[[#This Row],[Mes]]&amp;"'!T3"),Config!$C$4)))</f>
        <v>500</v>
      </c>
      <c r="O23" s="52" t="n">
        <f aca="false">IF(Aportes[[#This Row],[USD]]="","",Aportes[[#This Row],[USD]]*IFERROR(INDIRECT("'"&amp;Aportes[[#This Row],[Mes]]&amp;"'!T3"),Config!$C$4))</f>
        <v>29380</v>
      </c>
    </row>
    <row r="24" s="1" customFormat="true" ht="20" hidden="false" customHeight="false" outlineLevel="0" collapsed="false">
      <c r="B24" s="76" t="s">
        <v>130</v>
      </c>
      <c r="C24" s="50" t="e">
        <f aca="true">IFERROR(INDIRECT("'"&amp;B24&amp;"'!C10"),"")</f>
        <v>#REF!</v>
      </c>
      <c r="D24" s="77" t="e">
        <f aca="true">IFERROR(INDIRECT("'"&amp;B24&amp;"'!T3"),"")</f>
        <v>#REF!</v>
      </c>
      <c r="E24" s="50" t="e">
        <f aca="false">IF(C24="","",C24*D24)</f>
        <v>#REF!</v>
      </c>
      <c r="F24" s="50" t="e">
        <f aca="false">IF(C24="","",SUMIFS(Aportes[USD],Aportes[Mes],B24))</f>
        <v>#REF!</v>
      </c>
      <c r="G24" s="78" t="e">
        <f aca="false">IF(OR(C24="",C24=0),"",F24/C24)</f>
        <v>#REF!</v>
      </c>
      <c r="I24" s="53"/>
      <c r="J24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24" s="48"/>
      <c r="L24" s="50"/>
      <c r="M24" s="49"/>
      <c r="N24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24" s="52" t="str">
        <f aca="false">IF(Aportes[[#This Row],[USD]]="","",Aportes[[#This Row],[USD]]*IFERROR(INDIRECT("'"&amp;Aportes[[#This Row],[Mes]]&amp;"'!T3"),Config!$C$4))</f>
        <v/>
      </c>
    </row>
    <row r="25" s="1" customFormat="true" ht="20" hidden="false" customHeight="false" outlineLevel="0" collapsed="false">
      <c r="B25" s="76" t="s">
        <v>131</v>
      </c>
      <c r="C25" s="50" t="e">
        <f aca="true">IFERROR(INDIRECT("'"&amp;B25&amp;"'!C10"),"")</f>
        <v>#REF!</v>
      </c>
      <c r="D25" s="77" t="e">
        <f aca="true">IFERROR(INDIRECT("'"&amp;B25&amp;"'!T3"),"")</f>
        <v>#REF!</v>
      </c>
      <c r="E25" s="50" t="e">
        <f aca="false">IF(C25="","",C25*D25)</f>
        <v>#REF!</v>
      </c>
      <c r="F25" s="50" t="e">
        <f aca="false">IF(C25="","",SUMIFS(Aportes[USD],Aportes[Mes],B25))</f>
        <v>#REF!</v>
      </c>
      <c r="G25" s="78" t="e">
        <f aca="false">IF(OR(C25="",C25=0),"",F25/C25)</f>
        <v>#REF!</v>
      </c>
      <c r="I25" s="53"/>
      <c r="J25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25" s="48"/>
      <c r="L25" s="50"/>
      <c r="M25" s="49"/>
      <c r="N25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25" s="52" t="str">
        <f aca="false">IF(Aportes[[#This Row],[USD]]="","",Aportes[[#This Row],[USD]]*IFERROR(INDIRECT("'"&amp;Aportes[[#This Row],[Mes]]&amp;"'!T3"),Config!$C$4))</f>
        <v/>
      </c>
    </row>
    <row r="26" s="1" customFormat="true" ht="20" hidden="false" customHeight="false" outlineLevel="0" collapsed="false">
      <c r="B26" s="76" t="s">
        <v>132</v>
      </c>
      <c r="C26" s="50" t="e">
        <f aca="true">IFERROR(INDIRECT("'"&amp;B26&amp;"'!C10"),"")</f>
        <v>#REF!</v>
      </c>
      <c r="D26" s="77" t="e">
        <f aca="true">IFERROR(INDIRECT("'"&amp;B26&amp;"'!T3"),"")</f>
        <v>#REF!</v>
      </c>
      <c r="E26" s="50" t="e">
        <f aca="false">IF(C26="","",C26*D26)</f>
        <v>#REF!</v>
      </c>
      <c r="F26" s="50" t="e">
        <f aca="false">IF(C26="","",SUMIFS(Aportes[USD],Aportes[Mes],B26))</f>
        <v>#REF!</v>
      </c>
      <c r="G26" s="78" t="e">
        <f aca="false">IF(OR(C26="",C26=0),"",F26/C26)</f>
        <v>#REF!</v>
      </c>
      <c r="I26" s="53"/>
      <c r="J26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26" s="48"/>
      <c r="L26" s="50"/>
      <c r="M26" s="49"/>
      <c r="N26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26" s="52" t="str">
        <f aca="false">IF(Aportes[[#This Row],[USD]]="","",Aportes[[#This Row],[USD]]*IFERROR(INDIRECT("'"&amp;Aportes[[#This Row],[Mes]]&amp;"'!T3"),Config!$C$4))</f>
        <v/>
      </c>
    </row>
    <row r="27" s="1" customFormat="true" ht="20" hidden="false" customHeight="false" outlineLevel="0" collapsed="false">
      <c r="B27" s="76" t="s">
        <v>133</v>
      </c>
      <c r="C27" s="50" t="e">
        <f aca="true">IFERROR(INDIRECT("'"&amp;B27&amp;"'!C10"),"")</f>
        <v>#REF!</v>
      </c>
      <c r="D27" s="77" t="e">
        <f aca="true">IFERROR(INDIRECT("'"&amp;B27&amp;"'!T3"),"")</f>
        <v>#REF!</v>
      </c>
      <c r="E27" s="50" t="e">
        <f aca="false">IF(C27="","",C27*D27)</f>
        <v>#REF!</v>
      </c>
      <c r="F27" s="50" t="e">
        <f aca="false">IF(C27="","",SUMIFS(Aportes[USD],Aportes[Mes],B27))</f>
        <v>#REF!</v>
      </c>
      <c r="G27" s="78" t="e">
        <f aca="false">IF(OR(C27="",C27=0),"",F27/C27)</f>
        <v>#REF!</v>
      </c>
      <c r="I27" s="53"/>
      <c r="J27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27" s="48"/>
      <c r="L27" s="50"/>
      <c r="M27" s="49"/>
      <c r="N27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27" s="52" t="str">
        <f aca="false">IF(Aportes[[#This Row],[USD]]="","",Aportes[[#This Row],[USD]]*IFERROR(INDIRECT("'"&amp;Aportes[[#This Row],[Mes]]&amp;"'!T3"),Config!$C$4))</f>
        <v/>
      </c>
    </row>
    <row r="28" s="1" customFormat="true" ht="20" hidden="false" customHeight="false" outlineLevel="0" collapsed="false">
      <c r="B28" s="76" t="s">
        <v>134</v>
      </c>
      <c r="C28" s="50" t="e">
        <f aca="true">IFERROR(INDIRECT("'"&amp;B28&amp;"'!C10"),"")</f>
        <v>#REF!</v>
      </c>
      <c r="D28" s="77" t="e">
        <f aca="true">IFERROR(INDIRECT("'"&amp;B28&amp;"'!T3"),"")</f>
        <v>#REF!</v>
      </c>
      <c r="E28" s="50" t="e">
        <f aca="false">IF(C28="","",C28*D28)</f>
        <v>#REF!</v>
      </c>
      <c r="F28" s="50" t="e">
        <f aca="false">IF(C28="","",SUMIFS(Aportes[USD],Aportes[Mes],B28))</f>
        <v>#REF!</v>
      </c>
      <c r="G28" s="78" t="e">
        <f aca="false">IF(OR(C28="",C28=0),"",F28/C28)</f>
        <v>#REF!</v>
      </c>
      <c r="I28" s="53"/>
      <c r="J28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28" s="48"/>
      <c r="L28" s="50"/>
      <c r="M28" s="49"/>
      <c r="N28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28" s="52" t="str">
        <f aca="false">IF(Aportes[[#This Row],[USD]]="","",Aportes[[#This Row],[USD]]*IFERROR(INDIRECT("'"&amp;Aportes[[#This Row],[Mes]]&amp;"'!T3"),Config!$C$4))</f>
        <v/>
      </c>
    </row>
    <row r="29" s="1" customFormat="true" ht="20" hidden="false" customHeight="false" outlineLevel="0" collapsed="false">
      <c r="B29" s="76" t="s">
        <v>135</v>
      </c>
      <c r="C29" s="50" t="e">
        <f aca="true">IFERROR(INDIRECT("'"&amp;B29&amp;"'!C10"),"")</f>
        <v>#REF!</v>
      </c>
      <c r="D29" s="77" t="e">
        <f aca="true">IFERROR(INDIRECT("'"&amp;B29&amp;"'!T3"),"")</f>
        <v>#REF!</v>
      </c>
      <c r="E29" s="50" t="e">
        <f aca="false">IF(C29="","",C29*D29)</f>
        <v>#REF!</v>
      </c>
      <c r="F29" s="50" t="e">
        <f aca="false">IF(C29="","",SUMIFS(Aportes[USD],Aportes[Mes],B29))</f>
        <v>#REF!</v>
      </c>
      <c r="G29" s="78" t="e">
        <f aca="false">IF(OR(C29="",C29=0),"",F29/C29)</f>
        <v>#REF!</v>
      </c>
      <c r="I29" s="53"/>
      <c r="J29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29" s="48"/>
      <c r="L29" s="50"/>
      <c r="M29" s="49"/>
      <c r="N29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29" s="52" t="str">
        <f aca="false">IF(Aportes[[#This Row],[USD]]="","",Aportes[[#This Row],[USD]]*IFERROR(INDIRECT("'"&amp;Aportes[[#This Row],[Mes]]&amp;"'!T3"),Config!$C$4))</f>
        <v/>
      </c>
    </row>
    <row r="30" s="1" customFormat="true" ht="20" hidden="false" customHeight="false" outlineLevel="0" collapsed="false">
      <c r="B30" s="76" t="s">
        <v>136</v>
      </c>
      <c r="C30" s="50" t="e">
        <f aca="true">IFERROR(INDIRECT("'"&amp;B30&amp;"'!C10"),"")</f>
        <v>#REF!</v>
      </c>
      <c r="D30" s="77" t="e">
        <f aca="true">IFERROR(INDIRECT("'"&amp;B30&amp;"'!T3"),"")</f>
        <v>#REF!</v>
      </c>
      <c r="E30" s="50" t="e">
        <f aca="false">IF(C30="","",C30*D30)</f>
        <v>#REF!</v>
      </c>
      <c r="F30" s="50" t="e">
        <f aca="false">IF(C30="","",SUMIFS(Aportes[USD],Aportes[Mes],B30))</f>
        <v>#REF!</v>
      </c>
      <c r="G30" s="78" t="e">
        <f aca="false">IF(OR(C30="",C30=0),"",F30/C30)</f>
        <v>#REF!</v>
      </c>
      <c r="I30" s="53"/>
      <c r="J30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30" s="48"/>
      <c r="L30" s="50"/>
      <c r="M30" s="49"/>
      <c r="N30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30" s="52" t="str">
        <f aca="false">IF(Aportes[[#This Row],[USD]]="","",Aportes[[#This Row],[USD]]*IFERROR(INDIRECT("'"&amp;Aportes[[#This Row],[Mes]]&amp;"'!T3"),Config!$C$4))</f>
        <v/>
      </c>
    </row>
    <row r="31" s="1" customFormat="true" ht="6" hidden="false" customHeight="true" outlineLevel="0" collapsed="false">
      <c r="B31" s="38"/>
      <c r="C31" s="39"/>
      <c r="D31" s="39"/>
      <c r="E31" s="39"/>
      <c r="F31" s="39"/>
      <c r="G31" s="40"/>
      <c r="I31" s="53"/>
      <c r="J31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31" s="48"/>
      <c r="L31" s="50"/>
      <c r="M31" s="49"/>
      <c r="N31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31" s="52" t="str">
        <f aca="false">IF(Aportes[[#This Row],[USD]]="","",Aportes[[#This Row],[USD]]*IFERROR(INDIRECT("'"&amp;Aportes[[#This Row],[Mes]]&amp;"'!T3"),Config!$C$4))</f>
        <v/>
      </c>
    </row>
    <row r="32" s="1" customFormat="true" ht="20" hidden="false" customHeight="false" outlineLevel="0" collapsed="false">
      <c r="I32" s="53"/>
      <c r="J32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32" s="48"/>
      <c r="L32" s="50"/>
      <c r="M32" s="49"/>
      <c r="N32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32" s="52" t="str">
        <f aca="false">IF(Aportes[[#This Row],[USD]]="","",Aportes[[#This Row],[USD]]*IFERROR(INDIRECT("'"&amp;Aportes[[#This Row],[Mes]]&amp;"'!T3"),Config!$C$4))</f>
        <v/>
      </c>
    </row>
    <row r="33" s="1" customFormat="true" ht="20" hidden="false" customHeight="false" outlineLevel="0" collapsed="false">
      <c r="I33" s="53"/>
      <c r="J33" s="56" t="str">
        <f aca="false">IF(Aportes[[#This Row],[Fecha]]="","",CHOOSE(MONTH(Aportes[[#This Row],[Fecha]]),"Enero","Febrero","Marzo","Abril","Mayo","Junio","Julio","Agosto","Septiembre","Octubre","Noviembre","Diciembre")&amp;" "&amp;YEAR(Aportes[[#This Row],[Fecha]]))</f>
        <v/>
      </c>
      <c r="K33" s="48"/>
      <c r="L33" s="50"/>
      <c r="M33" s="49"/>
      <c r="N33" s="51" t="str">
        <f aca="false">IF(Aportes[[#This Row],[Monto]]="","",IF(Aportes[[#This Row],[Moneda]]="USD",Aportes[[#This Row],[Monto]],Aportes[[#This Row],[Monto]]/IFERROR(INDIRECT("'"&amp;Aportes[[#This Row],[Mes]]&amp;"'!T3"),Config!$C$4)))</f>
        <v/>
      </c>
      <c r="O33" s="52" t="str">
        <f aca="false">IF(Aportes[[#This Row],[USD]]="","",Aportes[[#This Row],[USD]]*IFERROR(INDIRECT("'"&amp;Aportes[[#This Row],[Mes]]&amp;"'!T3"),Config!$C$4))</f>
        <v/>
      </c>
    </row>
  </sheetData>
  <mergeCells count="21">
    <mergeCell ref="C3:E3"/>
    <mergeCell ref="C4:E4"/>
    <mergeCell ref="F4:H4"/>
    <mergeCell ref="I4:J4"/>
    <mergeCell ref="K4:M4"/>
    <mergeCell ref="N4:O4"/>
    <mergeCell ref="L6:O6"/>
    <mergeCell ref="I7:O7"/>
    <mergeCell ref="B8:D8"/>
    <mergeCell ref="E8:G8"/>
    <mergeCell ref="I8:K8"/>
    <mergeCell ref="L8:O8"/>
    <mergeCell ref="B9:D9"/>
    <mergeCell ref="E9:G9"/>
    <mergeCell ref="I10:O10"/>
    <mergeCell ref="B11:D11"/>
    <mergeCell ref="E11:G11"/>
    <mergeCell ref="I11:K11"/>
    <mergeCell ref="L11:O11"/>
    <mergeCell ref="N12:O12"/>
    <mergeCell ref="L14:O14"/>
  </mergeCells>
  <conditionalFormatting sqref="K4">
    <cfRule type="cellIs" priority="2" operator="lessThan" aboveAverage="0" equalAverage="0" bottom="0" percent="0" rank="0" text="" dxfId="7">
      <formula>0</formula>
    </cfRule>
  </conditionalFormatting>
  <conditionalFormatting sqref="I10:O10">
    <cfRule type="dataBar" priority="3">
      <dataBar showValue="0" minLength="10" maxLength="90">
        <cfvo type="num" val="0"/>
        <cfvo type="num" val="1"/>
        <color rgb="FF2F7D52"/>
      </dataBar>
      <extLst>
        <ext xmlns:x14="http://schemas.microsoft.com/office/spreadsheetml/2009/9/main" uri="{B025F937-C7B1-47D3-B67F-A62EFF666E3E}">
          <x14:id>{DDC82731-C173-47D8-AF3A-42A493E7ED85}</x14:id>
        </ext>
      </extLst>
    </cfRule>
  </conditionalFormatting>
  <dataValidations count="2">
    <dataValidation allowBlank="true" errorStyle="stop" operator="between" showDropDown="false" showErrorMessage="true" showInputMessage="false" sqref="K16:K1033" type="list">
      <formula1>Config!$G$4:$G$6</formula1>
      <formula2>0</formula2>
    </dataValidation>
    <dataValidation allowBlank="true" errorStyle="stop" operator="between" showDropDown="false" showErrorMessage="true" showInputMessage="false" sqref="M16:M1033" type="list">
      <formula1>"USD,DOP"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C82731-C173-47D8-AF3A-42A493E7ED8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7D52"/>
              <x14:axisColor rgb="FF000000"/>
            </x14:dataBar>
          </x14:cfRule>
          <xm:sqref>I10:O10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ABA3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20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3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60" min="8" style="1" width="9"/>
  </cols>
  <sheetData>
    <row r="1" s="1" customFormat="true" ht="26" hidden="false" customHeight="true" outlineLevel="0" collapsed="false">
      <c r="A1" s="2"/>
      <c r="B1" s="3" t="s">
        <v>137</v>
      </c>
      <c r="C1" s="2"/>
      <c r="D1" s="2"/>
      <c r="E1" s="2"/>
      <c r="F1" s="2"/>
      <c r="G1" s="2"/>
    </row>
    <row r="3" s="1" customFormat="true" ht="20" hidden="false" customHeight="false" outlineLevel="0" collapsed="false">
      <c r="B3" s="10" t="s">
        <v>138</v>
      </c>
      <c r="C3" s="12"/>
      <c r="E3" s="10" t="s">
        <v>139</v>
      </c>
      <c r="F3" s="14" t="s">
        <v>140</v>
      </c>
      <c r="G3" s="79" t="s">
        <v>141</v>
      </c>
    </row>
    <row r="4" s="1" customFormat="true" ht="20" hidden="false" customHeight="false" outlineLevel="0" collapsed="false">
      <c r="B4" s="16" t="s">
        <v>142</v>
      </c>
      <c r="C4" s="80" t="n">
        <v>58.76</v>
      </c>
      <c r="E4" s="23" t="s">
        <v>32</v>
      </c>
      <c r="F4" s="24" t="s">
        <v>66</v>
      </c>
      <c r="G4" s="81" t="s">
        <v>110</v>
      </c>
    </row>
    <row r="5" s="1" customFormat="true" ht="20" hidden="false" customHeight="false" outlineLevel="0" collapsed="false">
      <c r="B5" s="16" t="s">
        <v>143</v>
      </c>
      <c r="C5" s="82" t="s">
        <v>98</v>
      </c>
      <c r="E5" s="23" t="s">
        <v>34</v>
      </c>
      <c r="F5" s="24" t="s">
        <v>80</v>
      </c>
      <c r="G5" s="81" t="s">
        <v>111</v>
      </c>
    </row>
    <row r="6" s="1" customFormat="true" ht="20" hidden="false" customHeight="false" outlineLevel="0" collapsed="false">
      <c r="B6" s="38"/>
      <c r="C6" s="40"/>
      <c r="E6" s="23" t="s">
        <v>36</v>
      </c>
      <c r="F6" s="24" t="s">
        <v>74</v>
      </c>
      <c r="G6" s="81" t="s">
        <v>112</v>
      </c>
    </row>
    <row r="7" s="1" customFormat="true" ht="20" hidden="false" customHeight="false" outlineLevel="0" collapsed="false">
      <c r="E7" s="23" t="s">
        <v>38</v>
      </c>
      <c r="F7" s="17"/>
      <c r="G7" s="18"/>
    </row>
    <row r="8" s="1" customFormat="true" ht="20" hidden="false" customHeight="false" outlineLevel="0" collapsed="false">
      <c r="E8" s="23" t="s">
        <v>40</v>
      </c>
      <c r="F8" s="17"/>
      <c r="G8" s="18"/>
    </row>
    <row r="9" s="1" customFormat="true" ht="20" hidden="false" customHeight="false" outlineLevel="0" collapsed="false">
      <c r="E9" s="23" t="s">
        <v>42</v>
      </c>
      <c r="F9" s="17"/>
      <c r="G9" s="18"/>
    </row>
    <row r="10" s="1" customFormat="true" ht="20" hidden="false" customHeight="false" outlineLevel="0" collapsed="false">
      <c r="E10" s="23" t="s">
        <v>44</v>
      </c>
      <c r="F10" s="17"/>
      <c r="G10" s="18"/>
    </row>
    <row r="11" s="1" customFormat="true" ht="20" hidden="false" customHeight="false" outlineLevel="0" collapsed="false">
      <c r="E11" s="23" t="s">
        <v>46</v>
      </c>
      <c r="F11" s="17"/>
      <c r="G11" s="18"/>
    </row>
    <row r="12" s="1" customFormat="true" ht="20" hidden="false" customHeight="false" outlineLevel="0" collapsed="false">
      <c r="E12" s="23" t="s">
        <v>48</v>
      </c>
      <c r="F12" s="17"/>
      <c r="G12" s="18"/>
    </row>
    <row r="13" s="1" customFormat="true" ht="20" hidden="false" customHeight="false" outlineLevel="0" collapsed="false">
      <c r="E13" s="23" t="s">
        <v>50</v>
      </c>
      <c r="F13" s="17"/>
      <c r="G13" s="18"/>
    </row>
    <row r="14" s="1" customFormat="true" ht="20" hidden="false" customHeight="false" outlineLevel="0" collapsed="false">
      <c r="E14" s="38"/>
      <c r="F14" s="39"/>
      <c r="G14" s="40"/>
    </row>
  </sheetData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