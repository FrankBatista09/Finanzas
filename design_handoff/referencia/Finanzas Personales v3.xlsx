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2"/>
  </bookViews>
  <sheets>
    <sheet name="Agosto 2026" sheetId="1" r:id="rId1"/>
    <sheet name="Septiembre 2026" sheetId="2" r:id="rId2"/>
    <sheet name="Octubre 2026" sheetId="3" r:id="rId3"/>
    <sheet name="Ahorros" sheetId="4" r:id="rId4"/>
    <sheet name="Config" sheetId="5" r:id="rId5"/>
  </sheets>
  <calcPr calcId="191029" fullCalcOnLoad="1"/>
</workbook>
</file>

<file path=xl/sharedStrings.xml><?xml version="1.0" encoding="utf-8"?>
<sst xmlns="http://schemas.openxmlformats.org/spreadsheetml/2006/main" count="144" uniqueCount="144">
  <si>
    <t xml:space="preserve">Finanzas personales</t>
  </si>
  <si>
    <t xml:space="preserve">Agosto 2026</t>
  </si>
  <si>
    <t xml:space="preserve">Tasa del mes</t>
  </si>
  <si>
    <t xml:space="preserve">Mes nuevo: usa "Cerrar mes" en la página y descarga el Excel, o duplica esta hoja (clic derecho en la pestaña → Mover o copiar → Crear una copia).</t>
  </si>
  <si>
    <t xml:space="preserve">Cálculos</t>
  </si>
  <si>
    <t xml:space="preserve">DINERO TOTAL</t>
  </si>
  <si>
    <t xml:space="preserve">PRESUPUESTO USADO</t>
  </si>
  <si>
    <r>
      <rPr>
        <sz val="10"/>
        <color rgb="FF2B3A33"/>
        <rFont val="Segoe UI"/>
      </rPr>
      <t xml:space="preserve">■  </t>
    </r>
    <r>
      <rPr>
        <sz val="10"/>
        <color rgb="FF1D1F1C"/>
        <rFont val="Segoe UI"/>
      </rPr>
      <t xml:space="preserve">Fijos pagados</t>
    </r>
  </si>
  <si>
    <t xml:space="preserve">Presupuesto planeado</t>
  </si>
  <si>
    <t xml:space="preserve">Cuenta USA</t>
  </si>
  <si>
    <t xml:space="preserve">USD</t>
  </si>
  <si>
    <r>
      <rPr>
        <sz val="10"/>
        <color rgb="FF2F7D52"/>
        <rFont val="Segoe UI"/>
      </rPr>
      <t xml:space="preserve">■  </t>
    </r>
    <r>
      <rPr>
        <sz val="10"/>
        <color rgb="FF1D1F1C"/>
        <rFont val="Segoe UI"/>
      </rPr>
      <t xml:space="preserve">Transacciones</t>
    </r>
  </si>
  <si>
    <t xml:space="preserve">Usado hasta hoy</t>
  </si>
  <si>
    <t xml:space="preserve">Cuenta RD</t>
  </si>
  <si>
    <t xml:space="preserve">DOP</t>
  </si>
  <si>
    <r>
      <rPr>
        <sz val="10"/>
        <color rgb="FFB7C4B7"/>
        <rFont val="Segoe UI"/>
      </rPr>
      <t xml:space="preserve">■  </t>
    </r>
    <r>
      <rPr>
        <sz val="10"/>
        <color rgb="FF1D1F1C"/>
        <rFont val="Segoe UI"/>
      </rPr>
      <t xml:space="preserve">Fijos pendientes</t>
    </r>
  </si>
  <si>
    <t xml:space="preserve">Disponible</t>
  </si>
  <si>
    <t xml:space="preserve">Ingreso del mes</t>
  </si>
  <si>
    <r>
      <rPr>
        <sz val="10"/>
        <color rgb="FFDCDAD1"/>
        <rFont val="Segoe UI"/>
      </rPr>
      <t xml:space="preserve">■  </t>
    </r>
    <r>
      <rPr>
        <sz val="10"/>
        <color rgb="FF1D1F1C"/>
        <rFont val="Segoe UI"/>
      </rPr>
      <t xml:space="preserve">Libre</t>
    </r>
  </si>
  <si>
    <t xml:space="preserve">Disponible tras fijos pendientes</t>
  </si>
  <si>
    <t xml:space="preserve">Ingreso − usado</t>
  </si>
  <si>
    <t xml:space="preserve">Usado en USD</t>
  </si>
  <si>
    <t xml:space="preserve">Gastos mensuales</t>
  </si>
  <si>
    <t xml:space="preserve">Por categoría</t>
  </si>
  <si>
    <t xml:space="preserve">Pagado</t>
  </si>
  <si>
    <t xml:space="preserve">Concepto</t>
  </si>
  <si>
    <t xml:space="preserve">Día de cobro</t>
  </si>
  <si>
    <t xml:space="preserve">Monto</t>
  </si>
  <si>
    <t xml:space="preserve">Moneda</t>
  </si>
  <si>
    <t xml:space="preserve">Gastos fijos</t>
  </si>
  <si>
    <t xml:space="preserve">Sí</t>
  </si>
  <si>
    <t xml:space="preserve">Luz</t>
  </si>
  <si>
    <t xml:space="preserve">Comida</t>
  </si>
  <si>
    <t xml:space="preserve">Internet</t>
  </si>
  <si>
    <t xml:space="preserve">Supermercado</t>
  </si>
  <si>
    <t xml:space="preserve">Seguro médico</t>
  </si>
  <si>
    <t xml:space="preserve">Transporte</t>
  </si>
  <si>
    <t xml:space="preserve">Pago nevera</t>
  </si>
  <si>
    <t xml:space="preserve">Entretenimiento</t>
  </si>
  <si>
    <t xml:space="preserve">Claude</t>
  </si>
  <si>
    <t xml:space="preserve">Salud</t>
  </si>
  <si>
    <t xml:space="preserve">Google One</t>
  </si>
  <si>
    <t xml:space="preserve">Ropa</t>
  </si>
  <si>
    <t xml:space="preserve">iCloud+</t>
  </si>
  <si>
    <t xml:space="preserve">Hogar</t>
  </si>
  <si>
    <t xml:space="preserve">Cluely</t>
  </si>
  <si>
    <t xml:space="preserve">Suscripciones</t>
  </si>
  <si>
    <t xml:space="preserve">Smartfit</t>
  </si>
  <si>
    <t xml:space="preserve">Educación</t>
  </si>
  <si>
    <t xml:space="preserve">Netflix</t>
  </si>
  <si>
    <t xml:space="preserve">Viajes</t>
  </si>
  <si>
    <t xml:space="preserve">Unicaribe</t>
  </si>
  <si>
    <t xml:space="preserve">Envíos USD → DOP</t>
  </si>
  <si>
    <t xml:space="preserve">Fecha</t>
  </si>
  <si>
    <t xml:space="preserve">Vía</t>
  </si>
  <si>
    <t xml:space="preserve">Tasa</t>
  </si>
  <si>
    <t xml:space="preserve">Remitly</t>
  </si>
  <si>
    <t xml:space="preserve">PayPal</t>
  </si>
  <si>
    <t xml:space="preserve">Historial de transacciones</t>
  </si>
  <si>
    <t xml:space="preserve">Descripción</t>
  </si>
  <si>
    <t xml:space="preserve">Lugar</t>
  </si>
  <si>
    <t xml:space="preserve">Categoría</t>
  </si>
  <si>
    <t xml:space="preserve">Método</t>
  </si>
  <si>
    <t xml:space="preserve">Notas</t>
  </si>
  <si>
    <t xml:space="preserve">Compra semanal</t>
  </si>
  <si>
    <t xml:space="preserve">Supermercado Nacional</t>
  </si>
  <si>
    <t xml:space="preserve">Tarjeta</t>
  </si>
  <si>
    <t xml:space="preserve">Uber</t>
  </si>
  <si>
    <t xml:space="preserve">Almuerzo</t>
  </si>
  <si>
    <t xml:space="preserve">Adrian Tropical</t>
  </si>
  <si>
    <t xml:space="preserve">Gasolina</t>
  </si>
  <si>
    <t xml:space="preserve">Texaco Churchill</t>
  </si>
  <si>
    <t xml:space="preserve">Concierto</t>
  </si>
  <si>
    <t xml:space="preserve">Teatro Nacional</t>
  </si>
  <si>
    <t xml:space="preserve">App del banco</t>
  </si>
  <si>
    <t xml:space="preserve">Jumbo</t>
  </si>
  <si>
    <t xml:space="preserve">Camisas</t>
  </si>
  <si>
    <t xml:space="preserve">Zara Blue Mall</t>
  </si>
  <si>
    <t xml:space="preserve">Consulta</t>
  </si>
  <si>
    <t xml:space="preserve">Centro Médico</t>
  </si>
  <si>
    <t xml:space="preserve">Transferencia</t>
  </si>
  <si>
    <t xml:space="preserve">Copago seguro</t>
  </si>
  <si>
    <t xml:space="preserve">Cena</t>
  </si>
  <si>
    <t xml:space="preserve">Lulú Tasting Bar</t>
  </si>
  <si>
    <t xml:space="preserve">Shell</t>
  </si>
  <si>
    <t xml:space="preserve">Septiembre 2026</t>
  </si>
  <si>
    <t xml:space="preserve">Supermercado Bravo</t>
  </si>
  <si>
    <t xml:space="preserve">Libro de contabilidad</t>
  </si>
  <si>
    <t xml:space="preserve">Librería Cuesta</t>
  </si>
  <si>
    <t xml:space="preserve">El Conuco</t>
  </si>
  <si>
    <t xml:space="preserve">Texaco</t>
  </si>
  <si>
    <t xml:space="preserve">Cine</t>
  </si>
  <si>
    <t xml:space="preserve">Caribbean Cinemas</t>
  </si>
  <si>
    <t xml:space="preserve">Farmacia</t>
  </si>
  <si>
    <t xml:space="preserve">Farmacia Carol</t>
  </si>
  <si>
    <t xml:space="preserve">Reserva hotel Estambul</t>
  </si>
  <si>
    <t xml:space="preserve">Booking</t>
  </si>
  <si>
    <t xml:space="preserve">Depósito</t>
  </si>
  <si>
    <t xml:space="preserve">Octubre 2026</t>
  </si>
  <si>
    <t xml:space="preserve">No</t>
  </si>
  <si>
    <t xml:space="preserve">Uber al trabajo</t>
  </si>
  <si>
    <t xml:space="preserve">Café</t>
  </si>
  <si>
    <t xml:space="preserve">Starbucks Ágora</t>
  </si>
  <si>
    <t xml:space="preserve">Ahorros</t>
  </si>
  <si>
    <t xml:space="preserve">MES ACTUAL</t>
  </si>
  <si>
    <t xml:space="preserve">DINERO TOTAL (DOP)</t>
  </si>
  <si>
    <t xml:space="preserve">PRESUPUESTO</t>
  </si>
  <si>
    <t xml:space="preserve">USADO</t>
  </si>
  <si>
    <t xml:space="preserve">DISPONIBLE</t>
  </si>
  <si>
    <t xml:space="preserve">TASA</t>
  </si>
  <si>
    <t xml:space="preserve">Fondo de emergencia</t>
  </si>
  <si>
    <t xml:space="preserve">Ahorro personal</t>
  </si>
  <si>
    <t xml:space="preserve">Viaje a Turquía</t>
  </si>
  <si>
    <t xml:space="preserve">Aportes variables</t>
  </si>
  <si>
    <t xml:space="preserve">Aporte</t>
  </si>
  <si>
    <t xml:space="preserve">Inicio</t>
  </si>
  <si>
    <t xml:space="preserve">Fin</t>
  </si>
  <si>
    <t xml:space="preserve">Ingresos por mes</t>
  </si>
  <si>
    <t xml:space="preserve">Aportes</t>
  </si>
  <si>
    <t xml:space="preserve">Mes</t>
  </si>
  <si>
    <t xml:space="preserve">Ingreso USD</t>
  </si>
  <si>
    <t xml:space="preserve">Ingreso DOP</t>
  </si>
  <si>
    <t xml:space="preserve">Ahorrado USD</t>
  </si>
  <si>
    <t xml:space="preserve">% ahorro</t>
  </si>
  <si>
    <t xml:space="preserve">Meta</t>
  </si>
  <si>
    <t xml:space="preserve">Noviembre 2026</t>
  </si>
  <si>
    <t xml:space="preserve">Diciembre 2026</t>
  </si>
  <si>
    <t xml:space="preserve">Enero 2027</t>
  </si>
  <si>
    <t xml:space="preserve">Febrero 2027</t>
  </si>
  <si>
    <t xml:space="preserve">Marzo 2027</t>
  </si>
  <si>
    <t xml:space="preserve">Abril 2027</t>
  </si>
  <si>
    <t xml:space="preserve">Mayo 2027</t>
  </si>
  <si>
    <t xml:space="preserve">Junio 2027</t>
  </si>
  <si>
    <t xml:space="preserve">Julio 2027</t>
  </si>
  <si>
    <t xml:space="preserve">Agosto 2027</t>
  </si>
  <si>
    <t xml:space="preserve">Septiembre 2027</t>
  </si>
  <si>
    <t xml:space="preserve">Octubre 2027</t>
  </si>
  <si>
    <t xml:space="preserve">Configuración</t>
  </si>
  <si>
    <t xml:space="preserve">AJUSTES</t>
  </si>
  <si>
    <t xml:space="preserve">CATEGORÍAS</t>
  </si>
  <si>
    <t xml:space="preserve">MÉTODOS DE PAGO</t>
  </si>
  <si>
    <t xml:space="preserve">METAS DE AHORRO</t>
  </si>
  <si>
    <t xml:space="preserve">Tasa por defecto (mes sin envíos)</t>
  </si>
  <si>
    <t xml:space="preserve">Mes actual (se muestra en Ahorros)</t>
  </si>
</sst>
</file>

<file path=xl/styles.xml><?xml version="1.0" encoding="utf-8"?>
<styleSheet xmlns="http://schemas.openxmlformats.org/spreadsheetml/2006/main">
  <numFmts count="7">
    <numFmt numFmtId="164" formatCode="#,##0.00&quot; DOP&quot;"/>
    <numFmt numFmtId="165" formatCode="&quot;≈ &quot;#,##0.00&quot; USD&quot;"/>
    <numFmt numFmtId="166" formatCode="dd/mm/yyyy"/>
    <numFmt numFmtId="167" formatCode="#,##0.00&quot; USD&quot;"/>
    <numFmt numFmtId="168" formatCode="&quot;≈ &quot;#,##0&quot; DOP&quot;"/>
    <numFmt numFmtId="169" formatCode="mm/yyyy"/>
    <numFmt numFmtId="170" formatCode="0.0%"/>
  </numFmts>
  <fonts count="29">
    <font>
      <sz val="10"/>
      <color rgb="FF1D1F1C"/>
      <name val="Segoe UI"/>
      <family val="2"/>
    </font>
    <font>
      <b/>
      <sz val="13"/>
      <color rgb="FFF4F3EE"/>
      <name val="Segoe UI"/>
      <family val="2"/>
    </font>
    <font>
      <sz val="11"/>
      <color rgb="FFA9ABA3"/>
      <name val="Segoe UI"/>
      <family val="2"/>
    </font>
    <font>
      <sz val="9"/>
      <color rgb="FFA9ABA3"/>
      <name val="Segoe UI"/>
      <family val="2"/>
    </font>
    <font>
      <sz val="10"/>
      <color rgb="FFF4F3EE"/>
      <name val="Consolas"/>
      <family val="2"/>
    </font>
    <font>
      <i/>
      <sz val="8"/>
      <color rgb="FF6B6D66"/>
      <name val="Segoe UI"/>
      <family val="2"/>
    </font>
    <font>
      <b/>
      <sz val="10"/>
      <color rgb="FF1D1F1C"/>
      <name val="Segoe UI"/>
      <family val="2"/>
    </font>
    <font>
      <b/>
      <sz val="8"/>
      <color rgb="FF6B6D66"/>
      <name val="Segoe UI"/>
      <family val="2"/>
    </font>
    <font>
      <b/>
      <sz val="18"/>
      <color rgb="FF1D1F1C"/>
      <name val="Consolas"/>
      <family val="2"/>
    </font>
    <font>
      <sz val="9"/>
      <color rgb="FF6B6D66"/>
      <name val="Segoe UI"/>
      <family val="2"/>
    </font>
    <font>
      <sz val="9.5"/>
      <color rgb="FF6B6D66"/>
      <name val="Consolas"/>
      <family val="2"/>
    </font>
    <font>
      <sz val="10"/>
      <color rgb="FF1D1F1C"/>
      <name val="Consolas"/>
      <family val="2"/>
    </font>
    <font>
      <b/>
      <sz val="10"/>
      <color rgb="FF1D1F1C"/>
      <name val="Consolas"/>
      <family val="2"/>
    </font>
    <font>
      <sz val="10"/>
      <color rgb="FF45473F"/>
      <name val="Segoe UI"/>
      <family val="2"/>
    </font>
    <font>
      <sz val="8"/>
      <color rgb="FF6B6D66"/>
      <name val="Segoe UI"/>
      <family val="2"/>
    </font>
    <font>
      <b/>
      <sz val="10"/>
      <color rgb="FF23613F"/>
      <name val="Consolas"/>
      <family val="2"/>
    </font>
    <font>
      <sz val="10"/>
      <color rgb="FF45473F"/>
      <name val="Consolas"/>
      <family val="2"/>
    </font>
    <font>
      <b/>
      <sz val="12"/>
      <color rgb="FF1D1F1C"/>
      <name val="Segoe UI"/>
      <family val="2"/>
    </font>
    <font>
      <sz val="6"/>
      <color rgb="FFFFFFFF"/>
      <name val="Segoe UI"/>
      <family val="2"/>
    </font>
    <font>
      <sz val="9.5"/>
      <color rgb="FF45473F"/>
      <name val="Consolas"/>
      <family val="2"/>
    </font>
    <font>
      <sz val="10"/>
      <color rgb="FF6B6D66"/>
      <name val="Consolas"/>
      <family val="2"/>
    </font>
    <font>
      <b/>
      <sz val="11"/>
      <color rgb="FF1D1F1C"/>
      <name val="Segoe UI"/>
      <family val="2"/>
    </font>
    <font>
      <b/>
      <sz val="11"/>
      <color rgb="FF1D1F1C"/>
      <name val="Consolas"/>
      <family val="2"/>
    </font>
    <font>
      <sz val="11"/>
      <color rgb="FF1D1F1C"/>
      <name val="Consolas"/>
      <family val="2"/>
    </font>
    <font>
      <b/>
      <sz val="11"/>
      <color rgb="FF23613F"/>
      <name val="Consolas"/>
      <family val="2"/>
    </font>
    <font>
      <b/>
      <sz val="16"/>
      <color rgb="FF1D1F1C"/>
      <name val="Consolas"/>
      <family val="2"/>
    </font>
    <font>
      <sz val="9"/>
      <color rgb="FF6B6D66"/>
      <name val="Consolas"/>
      <family val="2"/>
    </font>
    <font>
      <sz val="9"/>
      <color rgb="FF45473F"/>
      <name val="Segoe UI"/>
      <family val="2"/>
    </font>
    <font>
      <sz val="10"/>
      <color rgb="FF23613F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rgb="FFEFEEE8"/>
        <bgColor indexed="64"/>
      </patternFill>
    </fill>
    <fill>
      <patternFill patternType="solid">
        <fgColor rgb="FF1D1F1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5F0"/>
        <bgColor indexed="64"/>
      </patternFill>
    </fill>
  </fills>
  <borders count="16">
    <border>
      <left/>
      <right/>
      <top/>
      <bottom/>
      <diagonal/>
    </border>
    <border>
      <left style="thin">
        <color rgb="FFE3E1D8"/>
      </left>
      <right/>
      <top style="thin">
        <color rgb="FFE3E1D8"/>
      </top>
      <bottom/>
      <diagonal/>
    </border>
    <border>
      <left/>
      <right/>
      <top style="thin">
        <color rgb="FFE3E1D8"/>
      </top>
      <bottom/>
      <diagonal/>
    </border>
    <border>
      <left/>
      <right style="thin">
        <color rgb="FFE3E1D8"/>
      </right>
      <top style="thin">
        <color rgb="FFE3E1D8"/>
      </top>
      <bottom/>
      <diagonal/>
    </border>
    <border>
      <left style="thin">
        <color rgb="FFE3E1D8"/>
      </left>
      <right/>
      <top/>
      <bottom/>
      <diagonal/>
    </border>
    <border>
      <left/>
      <right style="thin">
        <color rgb="FFE3E1D8"/>
      </right>
      <top/>
      <bottom/>
      <diagonal/>
    </border>
    <border>
      <left style="thin">
        <color rgb="FFE3E1D8"/>
      </left>
      <right/>
      <top/>
      <bottom style="thin">
        <color rgb="FFEEECE5"/>
      </bottom>
      <diagonal/>
    </border>
    <border>
      <left/>
      <right/>
      <top/>
      <bottom style="thin">
        <color rgb="FFEEECE5"/>
      </bottom>
      <diagonal/>
    </border>
    <border>
      <left/>
      <right style="thin">
        <color rgb="FFE3E1D8"/>
      </right>
      <top/>
      <bottom style="thin">
        <color rgb="FFEEECE5"/>
      </bottom>
      <diagonal/>
    </border>
    <border>
      <left style="thin">
        <color rgb="FFE3E1D8"/>
      </left>
      <right/>
      <top/>
      <bottom style="thin">
        <color rgb="FFE3E1D8"/>
      </bottom>
      <diagonal/>
    </border>
    <border>
      <left/>
      <right/>
      <top/>
      <bottom style="thin">
        <color rgb="FFE3E1D8"/>
      </bottom>
      <diagonal/>
    </border>
    <border>
      <left/>
      <right style="thin">
        <color rgb="FFE3E1D8"/>
      </right>
      <top/>
      <bottom style="thin">
        <color rgb="FFE3E1D8"/>
      </bottom>
      <diagonal/>
    </border>
    <border>
      <left style="thin">
        <color rgb="FFE3E1D8"/>
      </left>
      <right style="thin">
        <color rgb="FFEBE9E2"/>
      </right>
      <top style="thin">
        <color rgb="FFE3E1D8"/>
      </top>
      <bottom style="thin">
        <color rgb="FFE3E1D8"/>
      </bottom>
      <diagonal/>
    </border>
    <border>
      <left/>
      <right style="thin">
        <color rgb="FFEBE9E2"/>
      </right>
      <top style="thin">
        <color rgb="FFE3E1D8"/>
      </top>
      <bottom style="thin">
        <color rgb="FFE3E1D8"/>
      </bottom>
      <diagonal/>
    </border>
    <border>
      <left style="thin">
        <color rgb="FFE3E1D8"/>
      </left>
      <right style="thin">
        <color rgb="FFF1EFE9"/>
      </right>
      <top/>
      <bottom style="thin">
        <color rgb="FFEEECE5"/>
      </bottom>
      <diagonal/>
    </border>
    <border>
      <left/>
      <right style="thin">
        <color rgb="FFF1EFE9"/>
      </right>
      <top/>
      <bottom style="thin">
        <color rgb="FFEEECE5"/>
      </bottom>
      <diagonal/>
    </border>
  </borders>
  <cellStyleXfs count="1">
    <xf numFmtId="0" fontId="0" fillId="0" borderId="0"/>
  </cellStyleXfs>
  <cellXfs count="76">
    <xf numFmtId="0" fontId="0" fillId="0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 horizontal="right"/>
    </xf>
    <xf numFmtId="0" fontId="4" fillId="3" borderId="0" xfId="0" applyNumberFormat="1" applyFont="1" applyFill="1" applyBorder="1" applyAlignment="1">
      <alignment vertical="center" horizontal="right"/>
    </xf>
    <xf numFmtId="0" fontId="5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7" fillId="4" borderId="1" xfId="0" applyNumberFormat="1" applyFont="1" applyFill="1" applyBorder="1" applyAlignment="1">
      <alignment vertical="center"/>
    </xf>
    <xf numFmtId="0" fontId="0" fillId="4" borderId="2" xfId="0" applyNumberFormat="1" applyFont="1" applyFill="1" applyBorder="1" applyAlignment="1">
      <alignment vertical="center"/>
    </xf>
    <xf numFmtId="0" fontId="0" fillId="4" borderId="3" xfId="0" applyNumberFormat="1" applyFont="1" applyFill="1" applyBorder="1" applyAlignment="1">
      <alignment vertical="center"/>
    </xf>
    <xf numFmtId="0" fontId="0" fillId="4" borderId="1" xfId="0" applyNumberFormat="1" applyFont="1" applyFill="1" applyBorder="1" applyAlignment="1">
      <alignment vertical="center"/>
    </xf>
    <xf numFmtId="0" fontId="7" fillId="4" borderId="2" xfId="0" applyNumberFormat="1" applyFont="1" applyFill="1" applyBorder="1" applyAlignment="1">
      <alignment vertical="center"/>
    </xf>
    <xf numFmtId="164" fontId="8" fillId="4" borderId="4" xfId="0" applyNumberFormat="1" applyFont="1" applyFill="1" applyBorder="1" applyAlignment="1">
      <alignment vertical="center"/>
    </xf>
    <xf numFmtId="0" fontId="0" fillId="4" borderId="0" xfId="0" applyNumberFormat="1" applyFont="1" applyFill="1" applyBorder="1" applyAlignment="1">
      <alignment vertical="center"/>
    </xf>
    <xf numFmtId="0" fontId="0" fillId="4" borderId="5" xfId="0" applyNumberFormat="1" applyFont="1" applyFill="1" applyBorder="1" applyAlignment="1">
      <alignment vertical="center"/>
    </xf>
    <xf numFmtId="0" fontId="0" fillId="4" borderId="4" xfId="0" applyNumberFormat="1" applyFont="1" applyFill="1" applyBorder="1" applyAlignment="1">
      <alignment vertical="center"/>
    </xf>
    <xf numFmtId="0" fontId="9" fillId="4" borderId="4" xfId="0" applyNumberFormat="1" applyFont="1" applyFill="1" applyBorder="1" applyAlignment="1">
      <alignment vertical="bottom"/>
    </xf>
    <xf numFmtId="165" fontId="10" fillId="4" borderId="4" xfId="0" applyNumberFormat="1" applyFont="1" applyFill="1" applyBorder="1" applyAlignment="1">
      <alignment vertical="center"/>
    </xf>
    <xf numFmtId="3" fontId="11" fillId="4" borderId="5" xfId="0" applyNumberFormat="1" applyFont="1" applyFill="1" applyBorder="1" applyAlignment="1">
      <alignment vertical="center" horizontal="right"/>
    </xf>
    <xf numFmtId="0" fontId="0" fillId="4" borderId="6" xfId="0" applyNumberFormat="1" applyFont="1" applyFill="1" applyBorder="1" applyAlignment="1">
      <alignment vertical="center"/>
    </xf>
    <xf numFmtId="0" fontId="0" fillId="4" borderId="7" xfId="0" applyNumberFormat="1" applyFont="1" applyFill="1" applyBorder="1" applyAlignment="1">
      <alignment vertical="center"/>
    </xf>
    <xf numFmtId="4" fontId="12" fillId="5" borderId="7" xfId="0" applyNumberFormat="1" applyFont="1" applyFill="1" applyBorder="1" applyAlignment="1">
      <alignment vertical="center" horizontal="right"/>
    </xf>
    <xf numFmtId="0" fontId="0" fillId="4" borderId="8" xfId="0" applyNumberFormat="1" applyFont="1" applyFill="1" applyBorder="1" applyAlignment="1">
      <alignment vertical="center"/>
    </xf>
    <xf numFmtId="0" fontId="13" fillId="4" borderId="6" xfId="0" applyNumberFormat="1" applyFont="1" applyFill="1" applyBorder="1" applyAlignment="1">
      <alignment vertical="center"/>
    </xf>
    <xf numFmtId="4" fontId="11" fillId="5" borderId="7" xfId="0" applyNumberFormat="1" applyFont="1" applyFill="1" applyBorder="1" applyAlignment="1">
      <alignment vertical="center" horizontal="right"/>
    </xf>
    <xf numFmtId="0" fontId="14" fillId="4" borderId="8" xfId="0" applyNumberFormat="1" applyFont="1" applyFill="1" applyBorder="1" applyAlignment="1">
      <alignment vertical="center" indent="1"/>
    </xf>
    <xf numFmtId="0" fontId="6" fillId="4" borderId="6" xfId="0" applyNumberFormat="1" applyFont="1" applyFill="1" applyBorder="1" applyAlignment="1">
      <alignment vertical="center"/>
    </xf>
    <xf numFmtId="4" fontId="12" fillId="4" borderId="7" xfId="0" applyNumberFormat="1" applyFont="1" applyFill="1" applyBorder="1" applyAlignment="1">
      <alignment vertical="center" horizontal="right"/>
    </xf>
    <xf numFmtId="4" fontId="15" fillId="4" borderId="7" xfId="0" applyNumberFormat="1" applyFont="1" applyFill="1" applyBorder="1" applyAlignment="1">
      <alignment vertical="center" horizontal="right"/>
    </xf>
    <xf numFmtId="4" fontId="16" fillId="4" borderId="7" xfId="0" applyNumberFormat="1" applyFont="1" applyFill="1" applyBorder="1" applyAlignment="1">
      <alignment vertical="center" horizontal="right"/>
    </xf>
    <xf numFmtId="0" fontId="13" fillId="4" borderId="4" xfId="0" applyNumberFormat="1" applyFont="1" applyFill="1" applyBorder="1" applyAlignment="1">
      <alignment vertical="center"/>
    </xf>
    <xf numFmtId="164" fontId="11" fillId="4" borderId="0" xfId="0" applyNumberFormat="1" applyFont="1" applyFill="1" applyBorder="1" applyAlignment="1">
      <alignment vertical="center" horizontal="right"/>
    </xf>
    <xf numFmtId="0" fontId="0" fillId="4" borderId="9" xfId="0" applyNumberFormat="1" applyFont="1" applyFill="1" applyBorder="1" applyAlignment="1">
      <alignment vertical="center"/>
    </xf>
    <xf numFmtId="0" fontId="0" fillId="4" borderId="10" xfId="0" applyNumberFormat="1" applyFont="1" applyFill="1" applyBorder="1" applyAlignment="1">
      <alignment vertical="center"/>
    </xf>
    <xf numFmtId="0" fontId="0" fillId="4" borderId="11" xfId="0" applyNumberFormat="1" applyFont="1" applyFill="1" applyBorder="1" applyAlignment="1">
      <alignment vertical="center"/>
    </xf>
    <xf numFmtId="0" fontId="17" fillId="4" borderId="1" xfId="0" applyNumberFormat="1" applyFont="1" applyFill="1" applyBorder="1" applyAlignment="1">
      <alignment vertical="center"/>
    </xf>
    <xf numFmtId="0" fontId="9" fillId="4" borderId="2" xfId="0" applyNumberFormat="1" applyFont="1" applyFill="1" applyBorder="1" applyAlignment="1">
      <alignment vertical="center" horizontal="right"/>
    </xf>
    <xf numFmtId="0" fontId="9" fillId="4" borderId="3" xfId="0" applyNumberFormat="1" applyFont="1" applyFill="1" applyBorder="1" applyAlignment="1">
      <alignment vertical="center" horizontal="right"/>
    </xf>
    <xf numFmtId="0" fontId="7" fillId="5" borderId="12" xfId="0" applyNumberFormat="1" applyFont="1" applyFill="1" applyBorder="1" applyAlignment="1">
      <alignment vertical="center"/>
    </xf>
    <xf numFmtId="0" fontId="7" fillId="5" borderId="13" xfId="0" applyNumberFormat="1" applyFont="1" applyFill="1" applyBorder="1" applyAlignment="1">
      <alignment vertical="center"/>
    </xf>
    <xf numFmtId="0" fontId="7" fillId="5" borderId="13" xfId="0" applyNumberFormat="1" applyFont="1" applyFill="1" applyBorder="1" applyAlignment="1">
      <alignment vertical="center" horizontal="right"/>
    </xf>
    <xf numFmtId="0" fontId="18" fillId="4" borderId="0" xfId="0" applyNumberFormat="1" applyFont="1" applyFill="1" applyBorder="1" applyAlignment="1">
      <alignment vertical="center"/>
    </xf>
    <xf numFmtId="0" fontId="6" fillId="4" borderId="14" xfId="0" applyNumberFormat="1" applyFont="1" applyFill="1" applyBorder="1" applyAlignment="1">
      <alignment vertical="center" horizontal="center"/>
    </xf>
    <xf numFmtId="0" fontId="0" fillId="4" borderId="15" xfId="0" applyNumberFormat="1" applyFont="1" applyFill="1" applyBorder="1" applyAlignment="1">
      <alignment vertical="center"/>
    </xf>
    <xf numFmtId="0" fontId="19" fillId="4" borderId="15" xfId="0" applyNumberFormat="1" applyFont="1" applyFill="1" applyBorder="1" applyAlignment="1">
      <alignment vertical="center"/>
    </xf>
    <xf numFmtId="4" fontId="11" fillId="4" borderId="15" xfId="0" applyNumberFormat="1" applyFont="1" applyFill="1" applyBorder="1" applyAlignment="1">
      <alignment vertical="center" horizontal="right"/>
    </xf>
    <xf numFmtId="4" fontId="12" fillId="4" borderId="15" xfId="0" applyNumberFormat="1" applyFont="1" applyFill="1" applyBorder="1" applyAlignment="1">
      <alignment vertical="center" horizontal="right"/>
    </xf>
    <xf numFmtId="4" fontId="20" fillId="4" borderId="15" xfId="0" applyNumberFormat="1" applyFont="1" applyFill="1" applyBorder="1" applyAlignment="1">
      <alignment vertical="center" horizontal="right"/>
    </xf>
    <xf numFmtId="166" fontId="16" fillId="4" borderId="14" xfId="0" applyNumberFormat="1" applyFont="1" applyFill="1" applyBorder="1" applyAlignment="1">
      <alignment vertical="center" horizontal="left"/>
    </xf>
    <xf numFmtId="2" fontId="11" fillId="4" borderId="15" xfId="0" applyNumberFormat="1" applyFont="1" applyFill="1" applyBorder="1" applyAlignment="1">
      <alignment vertical="center" horizontal="right"/>
    </xf>
    <xf numFmtId="0" fontId="13" fillId="4" borderId="15" xfId="0" applyNumberFormat="1" applyFont="1" applyFill="1" applyBorder="1" applyAlignment="1">
      <alignment vertical="center"/>
    </xf>
    <xf numFmtId="0" fontId="9" fillId="4" borderId="15" xfId="0" applyNumberFormat="1" applyFont="1" applyFill="1" applyBorder="1" applyAlignment="1">
      <alignment vertical="center"/>
    </xf>
    <xf numFmtId="0" fontId="21" fillId="4" borderId="9" xfId="0" applyNumberFormat="1" applyFont="1" applyFill="1" applyBorder="1" applyAlignment="1">
      <alignment vertical="center"/>
    </xf>
    <xf numFmtId="4" fontId="22" fillId="4" borderId="10" xfId="0" applyNumberFormat="1" applyFont="1" applyFill="1" applyBorder="1" applyAlignment="1">
      <alignment vertical="center"/>
    </xf>
    <xf numFmtId="4" fontId="23" fillId="4" borderId="10" xfId="0" applyNumberFormat="1" applyFont="1" applyFill="1" applyBorder="1" applyAlignment="1">
      <alignment vertical="center"/>
    </xf>
    <xf numFmtId="4" fontId="24" fillId="4" borderId="10" xfId="0" applyNumberFormat="1" applyFont="1" applyFill="1" applyBorder="1" applyAlignment="1">
      <alignment vertical="center"/>
    </xf>
    <xf numFmtId="2" fontId="23" fillId="4" borderId="10" xfId="0" applyNumberFormat="1" applyFont="1" applyFill="1" applyBorder="1" applyAlignment="1">
      <alignment vertical="center"/>
    </xf>
    <xf numFmtId="0" fontId="9" fillId="4" borderId="4" xfId="0" applyNumberFormat="1" applyFont="1" applyFill="1" applyBorder="1" applyAlignment="1">
      <alignment vertical="center"/>
    </xf>
    <xf numFmtId="167" fontId="25" fillId="4" borderId="4" xfId="0" applyNumberFormat="1" applyFont="1" applyFill="1" applyBorder="1" applyAlignment="1">
      <alignment vertical="center"/>
    </xf>
    <xf numFmtId="168" fontId="26" fillId="4" borderId="0" xfId="0" applyNumberFormat="1" applyFont="1" applyFill="1" applyBorder="1" applyAlignment="1">
      <alignment vertical="center" horizontal="right"/>
    </xf>
    <xf numFmtId="168" fontId="26" fillId="4" borderId="4" xfId="0" applyNumberFormat="1" applyFont="1" applyFill="1" applyBorder="1" applyAlignment="1">
      <alignment vertical="center"/>
    </xf>
    <xf numFmtId="0" fontId="18" fillId="4" borderId="4" xfId="0" applyNumberFormat="1" applyFont="1" applyFill="1" applyBorder="1" applyAlignment="1">
      <alignment vertical="center"/>
    </xf>
    <xf numFmtId="0" fontId="27" fillId="4" borderId="4" xfId="0" applyNumberFormat="1" applyFont="1" applyFill="1" applyBorder="1" applyAlignment="1">
      <alignment vertical="center"/>
    </xf>
    <xf numFmtId="0" fontId="9" fillId="4" borderId="0" xfId="0" applyNumberFormat="1" applyFont="1" applyFill="1" applyBorder="1" applyAlignment="1">
      <alignment vertical="center" horizontal="right"/>
    </xf>
    <xf numFmtId="0" fontId="9" fillId="4" borderId="9" xfId="0" applyNumberFormat="1" applyFont="1" applyFill="1" applyBorder="1" applyAlignment="1">
      <alignment vertical="center"/>
    </xf>
    <xf numFmtId="3" fontId="11" fillId="5" borderId="10" xfId="0" applyNumberFormat="1" applyFont="1" applyFill="1" applyBorder="1" applyAlignment="1">
      <alignment vertical="center" horizontal="right"/>
    </xf>
    <xf numFmtId="0" fontId="9" fillId="4" borderId="10" xfId="0" applyNumberFormat="1" applyFont="1" applyFill="1" applyBorder="1" applyAlignment="1">
      <alignment vertical="center" horizontal="right"/>
    </xf>
    <xf numFmtId="169" fontId="11" fillId="5" borderId="10" xfId="0" applyNumberFormat="1" applyFont="1" applyFill="1" applyBorder="1" applyAlignment="1">
      <alignment vertical="center" horizontal="right"/>
    </xf>
    <xf numFmtId="0" fontId="0" fillId="4" borderId="14" xfId="0" applyNumberFormat="1" applyFont="1" applyFill="1" applyBorder="1" applyAlignment="1">
      <alignment vertical="center"/>
    </xf>
    <xf numFmtId="2" fontId="20" fillId="4" borderId="15" xfId="0" applyNumberFormat="1" applyFont="1" applyFill="1" applyBorder="1" applyAlignment="1">
      <alignment vertical="center" horizontal="right"/>
    </xf>
    <xf numFmtId="170" fontId="28" fillId="4" borderId="15" xfId="0" applyNumberFormat="1" applyFont="1" applyFill="1" applyBorder="1" applyAlignment="1">
      <alignment vertical="center" horizontal="right"/>
    </xf>
    <xf numFmtId="0" fontId="7" fillId="4" borderId="3" xfId="0" applyNumberFormat="1" applyFont="1" applyFill="1" applyBorder="1" applyAlignment="1">
      <alignment vertical="center"/>
    </xf>
    <xf numFmtId="2" fontId="11" fillId="5" borderId="5" xfId="0" applyNumberFormat="1" applyFont="1" applyFill="1" applyBorder="1" applyAlignment="1">
      <alignment vertical="center" horizontal="right"/>
    </xf>
    <xf numFmtId="4" fontId="6" fillId="5" borderId="5" xfId="0" applyNumberFormat="1" applyFont="1" applyFill="1" applyBorder="1" applyAlignment="1">
      <alignment vertical="center" horizontal="right"/>
    </xf>
  </cellXfs>
  <cellStyles count="1">
    <cellStyle name="Normal" xfId="0" builtinId="0"/>
  </cellStyles>
  <dxfs count="3">
    <dxf>
      <font>
        <b/>
        <color rgb="FFB23A2A"/>
      </font>
    </dxf>
    <dxf>
      <font>
        <b/>
        <color rgb="FF23613F"/>
      </font>
      <fill>
        <patternFill patternType="solid">
          <bgColor rgb="FFE6F0E9"/>
        </patternFill>
      </fill>
    </dxf>
    <dxf>
      <font>
        <color rgb="FF9A9C94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>
        <c:manualLayout>
          <c:layoutTarget val="inner"/>
          <c:xMode val="edge"/>
          <c:yMode val="edge"/>
          <c:x val="0.03"/>
          <c:y val="0.03"/>
          <c:w val="0.94"/>
          <c:h val="0.94"/>
        </c:manualLayout>
      </c:layout>
      <c:doughnutChart>
        <c:varyColors val="1"/>
        <c:ser>
          <c:idx val="0"/>
          <c:order val="0"/>
          <c:tx>
            <c:v>Presupuesto</c:v>
          </c:tx>
          <c:dPt>
            <c:idx val="0"/>
            <c:bubble3D val="0"/>
            <c:spPr>
              <a:solidFill>
                <a:srgbClr val="2B3A33"/>
              </a:solidFill>
              <a:ln>
                <a:noFill/>
              </a:ln>
            </c:spPr>
          </c:dPt>
          <c:dPt>
            <c:idx val="1"/>
            <c:bubble3D val="0"/>
            <c:spPr>
              <a:solidFill>
                <a:srgbClr val="2F7D52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C9D3C9"/>
              </a:solidFill>
              <a:ln>
                <a:noFill/>
              </a:ln>
            </c:spPr>
          </c:dPt>
          <c:dPt>
            <c:idx val="3"/>
            <c:bubble3D val="0"/>
            <c:spPr>
              <a:solidFill>
                <a:srgbClr val="EBE9E1"/>
              </a:solidFill>
              <a:ln>
                <a:noFill/>
              </a:ln>
            </c:spPr>
          </c:dPt>
          <c:val>
            <c:numRef>
              <c:f>'Agosto 2026'!$T$4:$T$7</c:f>
            </c:numRef>
          </c:val>
        </c:ser>
        <c:firstSliceAng val="0"/>
        <c:holeSize val="72"/>
      </c:doughnut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>
        <c:manualLayout>
          <c:layoutTarget val="inner"/>
          <c:xMode val="edge"/>
          <c:yMode val="edge"/>
          <c:x val="0.03"/>
          <c:y val="0.03"/>
          <c:w val="0.94"/>
          <c:h val="0.94"/>
        </c:manualLayout>
      </c:layout>
      <c:doughnutChart>
        <c:varyColors val="1"/>
        <c:ser>
          <c:idx val="0"/>
          <c:order val="0"/>
          <c:tx>
            <c:v>Presupuesto</c:v>
          </c:tx>
          <c:dPt>
            <c:idx val="0"/>
            <c:bubble3D val="0"/>
            <c:spPr>
              <a:solidFill>
                <a:srgbClr val="2B3A33"/>
              </a:solidFill>
              <a:ln>
                <a:noFill/>
              </a:ln>
            </c:spPr>
          </c:dPt>
          <c:dPt>
            <c:idx val="1"/>
            <c:bubble3D val="0"/>
            <c:spPr>
              <a:solidFill>
                <a:srgbClr val="2F7D52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C9D3C9"/>
              </a:solidFill>
              <a:ln>
                <a:noFill/>
              </a:ln>
            </c:spPr>
          </c:dPt>
          <c:dPt>
            <c:idx val="3"/>
            <c:bubble3D val="0"/>
            <c:spPr>
              <a:solidFill>
                <a:srgbClr val="EBE9E1"/>
              </a:solidFill>
              <a:ln>
                <a:noFill/>
              </a:ln>
            </c:spPr>
          </c:dPt>
          <c:val>
            <c:numRef>
              <c:f>'Septiembre 2026'!$T$4:$T$7</c:f>
            </c:numRef>
          </c:val>
        </c:ser>
        <c:firstSliceAng val="0"/>
        <c:holeSize val="72"/>
      </c:doughnut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>
        <c:manualLayout>
          <c:layoutTarget val="inner"/>
          <c:xMode val="edge"/>
          <c:yMode val="edge"/>
          <c:x val="0.03"/>
          <c:y val="0.03"/>
          <c:w val="0.94"/>
          <c:h val="0.94"/>
        </c:manualLayout>
      </c:layout>
      <c:doughnutChart>
        <c:varyColors val="1"/>
        <c:ser>
          <c:idx val="0"/>
          <c:order val="0"/>
          <c:tx>
            <c:v>Presupuesto</c:v>
          </c:tx>
          <c:dPt>
            <c:idx val="0"/>
            <c:bubble3D val="0"/>
            <c:spPr>
              <a:solidFill>
                <a:srgbClr val="2B3A33"/>
              </a:solidFill>
              <a:ln>
                <a:noFill/>
              </a:ln>
            </c:spPr>
          </c:dPt>
          <c:dPt>
            <c:idx val="1"/>
            <c:bubble3D val="0"/>
            <c:spPr>
              <a:solidFill>
                <a:srgbClr val="2F7D52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C9D3C9"/>
              </a:solidFill>
              <a:ln>
                <a:noFill/>
              </a:ln>
            </c:spPr>
          </c:dPt>
          <c:dPt>
            <c:idx val="3"/>
            <c:bubble3D val="0"/>
            <c:spPr>
              <a:solidFill>
                <a:srgbClr val="EBE9E1"/>
              </a:solidFill>
              <a:ln>
                <a:noFill/>
              </a:ln>
            </c:spPr>
          </c:dPt>
          <c:val>
            <c:numRef>
              <c:f>'Octubre 2026'!$T$4:$T$7</c:f>
            </c:numRef>
          </c:val>
        </c:ser>
        <c:firstSliceAng val="0"/>
        <c:holeSize val="72"/>
      </c:doughnut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80963</xdr:colOff>
      <xdr:row>3</xdr:row>
      <xdr:rowOff>107950</xdr:rowOff>
    </xdr:from>
    <xdr:to>
      <xdr:col>5</xdr:col>
      <xdr:colOff>900113</xdr:colOff>
      <xdr:row>11</xdr:row>
      <xdr:rowOff>19050</xdr:rowOff>
    </xdr:to>
    <xdr:graphicFrame macro="">
      <xdr:nvGraphicFramePr>
        <xdr:cNvPr id="2" name="Dona presupuest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442913</xdr:colOff>
      <xdr:row>5</xdr:row>
      <xdr:rowOff>171450</xdr:rowOff>
    </xdr:from>
    <xdr:to>
      <xdr:col>5</xdr:col>
      <xdr:colOff>538163</xdr:colOff>
      <xdr:row>6</xdr:row>
      <xdr:rowOff>76200</xdr:rowOff>
    </xdr:to>
    <xdr:sp macro="" textlink="">
      <xdr:nvSpPr>
        <xdr:cNvPr id="3" name="Centro 4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/>
        <a:lstStyle/>
        <a:p>
          <a:pPr algn="ctr"/>
          <a:r>
            <a:rPr lang="es-DO" sz="700" b="1">
              <a:solidFill>
                <a:srgbClr val="6B6D66"/>
              </a:solidFill>
              <a:latin typeface="Segoe UI"/>
            </a:rPr>
            <a:t>USADO</a:t>
          </a:r>
          <a:endParaRPr lang="es-DO" sz="700"/>
        </a:p>
      </xdr:txBody>
    </xdr:sp>
    <xdr:clientData/>
  </xdr:twoCellAnchor>
  <xdr:twoCellAnchor editAs="oneCell">
    <xdr:from>
      <xdr:col>4</xdr:col>
      <xdr:colOff>347663</xdr:colOff>
      <xdr:row>6</xdr:row>
      <xdr:rowOff>85725</xdr:rowOff>
    </xdr:from>
    <xdr:to>
      <xdr:col>5</xdr:col>
      <xdr:colOff>633413</xdr:colOff>
      <xdr:row>7</xdr:row>
      <xdr:rowOff>187325</xdr:rowOff>
    </xdr:to>
    <xdr:sp macro="" textlink="$T$9">
      <xdr:nvSpPr>
        <xdr:cNvPr id="4" name="Centro 5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/>
        <a:lstStyle/>
        <a:p>
          <a:pPr algn="ctr"/>
          <a:fld id="{00989A6C-1B2C-4D3E-8F4A-5B6C7D8E9F0A}" type="TxLink">
            <a:rPr lang="es-DO" sz="1500" b="1">
              <a:solidFill>
                <a:srgbClr val="1D1F1C"/>
              </a:solidFill>
              <a:latin typeface="Consolas"/>
            </a:rPr>
            <a:pPr algn="ctr"/>
            <a:t>0</a:t>
          </a:fld>
          <a:endParaRPr lang="es-DO" sz="1500"/>
        </a:p>
      </xdr:txBody>
    </xdr:sp>
    <xdr:clientData/>
  </xdr:twoCellAnchor>
  <xdr:twoCellAnchor editAs="oneCell">
    <xdr:from>
      <xdr:col>4</xdr:col>
      <xdr:colOff>347663</xdr:colOff>
      <xdr:row>7</xdr:row>
      <xdr:rowOff>196850</xdr:rowOff>
    </xdr:from>
    <xdr:to>
      <xdr:col>5</xdr:col>
      <xdr:colOff>633413</xdr:colOff>
      <xdr:row>8</xdr:row>
      <xdr:rowOff>95250</xdr:rowOff>
    </xdr:to>
    <xdr:sp macro="" textlink="$T$10">
      <xdr:nvSpPr>
        <xdr:cNvPr id="5" name="Centro 6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/>
        <a:lstStyle/>
        <a:p>
          <a:pPr algn="ctr"/>
          <a:fld id="{00989A6D-1B2C-4D3E-8F4A-5B6C7D8E9F0A}" type="TxLink">
            <a:rPr lang="es-DO" sz="800" b="0">
              <a:solidFill>
                <a:srgbClr val="6B6D66"/>
              </a:solidFill>
              <a:latin typeface="Segoe UI"/>
            </a:rPr>
            <a:pPr algn="ctr"/>
            <a:t/>
          </a:fld>
          <a:endParaRPr lang="es-DO" sz="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80963</xdr:colOff>
      <xdr:row>3</xdr:row>
      <xdr:rowOff>107950</xdr:rowOff>
    </xdr:from>
    <xdr:to>
      <xdr:col>5</xdr:col>
      <xdr:colOff>900113</xdr:colOff>
      <xdr:row>11</xdr:row>
      <xdr:rowOff>19050</xdr:rowOff>
    </xdr:to>
    <xdr:graphicFrame macro="">
      <xdr:nvGraphicFramePr>
        <xdr:cNvPr id="2" name="Dona presupuest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442913</xdr:colOff>
      <xdr:row>5</xdr:row>
      <xdr:rowOff>171450</xdr:rowOff>
    </xdr:from>
    <xdr:to>
      <xdr:col>5</xdr:col>
      <xdr:colOff>538163</xdr:colOff>
      <xdr:row>6</xdr:row>
      <xdr:rowOff>76200</xdr:rowOff>
    </xdr:to>
    <xdr:sp macro="" textlink="">
      <xdr:nvSpPr>
        <xdr:cNvPr id="3" name="Centro 4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/>
        <a:lstStyle/>
        <a:p>
          <a:pPr algn="ctr"/>
          <a:r>
            <a:rPr lang="es-DO" sz="700" b="1">
              <a:solidFill>
                <a:srgbClr val="6B6D66"/>
              </a:solidFill>
              <a:latin typeface="Segoe UI"/>
            </a:rPr>
            <a:t>USADO</a:t>
          </a:r>
          <a:endParaRPr lang="es-DO" sz="700"/>
        </a:p>
      </xdr:txBody>
    </xdr:sp>
    <xdr:clientData/>
  </xdr:twoCellAnchor>
  <xdr:twoCellAnchor editAs="oneCell">
    <xdr:from>
      <xdr:col>4</xdr:col>
      <xdr:colOff>347663</xdr:colOff>
      <xdr:row>6</xdr:row>
      <xdr:rowOff>85725</xdr:rowOff>
    </xdr:from>
    <xdr:to>
      <xdr:col>5</xdr:col>
      <xdr:colOff>633413</xdr:colOff>
      <xdr:row>7</xdr:row>
      <xdr:rowOff>187325</xdr:rowOff>
    </xdr:to>
    <xdr:sp macro="" textlink="$T$9">
      <xdr:nvSpPr>
        <xdr:cNvPr id="4" name="Centro 5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/>
        <a:lstStyle/>
        <a:p>
          <a:pPr algn="ctr"/>
          <a:fld id="{00989E54-1B2C-4D3E-8F4A-5B6C7D8E9F0A}" type="TxLink">
            <a:rPr lang="es-DO" sz="1500" b="1">
              <a:solidFill>
                <a:srgbClr val="1D1F1C"/>
              </a:solidFill>
              <a:latin typeface="Consolas"/>
            </a:rPr>
            <a:pPr algn="ctr"/>
            <a:t>0</a:t>
          </a:fld>
          <a:endParaRPr lang="es-DO" sz="1500"/>
        </a:p>
      </xdr:txBody>
    </xdr:sp>
    <xdr:clientData/>
  </xdr:twoCellAnchor>
  <xdr:twoCellAnchor editAs="oneCell">
    <xdr:from>
      <xdr:col>4</xdr:col>
      <xdr:colOff>347663</xdr:colOff>
      <xdr:row>7</xdr:row>
      <xdr:rowOff>196850</xdr:rowOff>
    </xdr:from>
    <xdr:to>
      <xdr:col>5</xdr:col>
      <xdr:colOff>633413</xdr:colOff>
      <xdr:row>8</xdr:row>
      <xdr:rowOff>95250</xdr:rowOff>
    </xdr:to>
    <xdr:sp macro="" textlink="$T$10">
      <xdr:nvSpPr>
        <xdr:cNvPr id="5" name="Centro 6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/>
        <a:lstStyle/>
        <a:p>
          <a:pPr algn="ctr"/>
          <a:fld id="{00989E55-1B2C-4D3E-8F4A-5B6C7D8E9F0A}" type="TxLink">
            <a:rPr lang="es-DO" sz="800" b="0">
              <a:solidFill>
                <a:srgbClr val="6B6D66"/>
              </a:solidFill>
              <a:latin typeface="Segoe UI"/>
            </a:rPr>
            <a:pPr algn="ctr"/>
            <a:t/>
          </a:fld>
          <a:endParaRPr lang="es-DO" sz="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80963</xdr:colOff>
      <xdr:row>3</xdr:row>
      <xdr:rowOff>107950</xdr:rowOff>
    </xdr:from>
    <xdr:to>
      <xdr:col>5</xdr:col>
      <xdr:colOff>900113</xdr:colOff>
      <xdr:row>11</xdr:row>
      <xdr:rowOff>19050</xdr:rowOff>
    </xdr:to>
    <xdr:graphicFrame macro="">
      <xdr:nvGraphicFramePr>
        <xdr:cNvPr id="2" name="Dona presupuest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442913</xdr:colOff>
      <xdr:row>5</xdr:row>
      <xdr:rowOff>171450</xdr:rowOff>
    </xdr:from>
    <xdr:to>
      <xdr:col>5</xdr:col>
      <xdr:colOff>538163</xdr:colOff>
      <xdr:row>6</xdr:row>
      <xdr:rowOff>76200</xdr:rowOff>
    </xdr:to>
    <xdr:sp macro="" textlink="">
      <xdr:nvSpPr>
        <xdr:cNvPr id="3" name="Centro 4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/>
        <a:lstStyle/>
        <a:p>
          <a:pPr algn="ctr"/>
          <a:r>
            <a:rPr lang="es-DO" sz="700" b="1">
              <a:solidFill>
                <a:srgbClr val="6B6D66"/>
              </a:solidFill>
              <a:latin typeface="Segoe UI"/>
            </a:rPr>
            <a:t>USADO</a:t>
          </a:r>
          <a:endParaRPr lang="es-DO" sz="700"/>
        </a:p>
      </xdr:txBody>
    </xdr:sp>
    <xdr:clientData/>
  </xdr:twoCellAnchor>
  <xdr:twoCellAnchor editAs="oneCell">
    <xdr:from>
      <xdr:col>4</xdr:col>
      <xdr:colOff>347663</xdr:colOff>
      <xdr:row>6</xdr:row>
      <xdr:rowOff>85725</xdr:rowOff>
    </xdr:from>
    <xdr:to>
      <xdr:col>5</xdr:col>
      <xdr:colOff>633413</xdr:colOff>
      <xdr:row>7</xdr:row>
      <xdr:rowOff>187325</xdr:rowOff>
    </xdr:to>
    <xdr:sp macro="" textlink="$T$9">
      <xdr:nvSpPr>
        <xdr:cNvPr id="4" name="Centro 5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/>
        <a:lstStyle/>
        <a:p>
          <a:pPr algn="ctr"/>
          <a:fld id="{0098A23C-1B2C-4D3E-8F4A-5B6C7D8E9F0A}" type="TxLink">
            <a:rPr lang="es-DO" sz="1500" b="1">
              <a:solidFill>
                <a:srgbClr val="1D1F1C"/>
              </a:solidFill>
              <a:latin typeface="Consolas"/>
            </a:rPr>
            <a:pPr algn="ctr"/>
            <a:t>0</a:t>
          </a:fld>
          <a:endParaRPr lang="es-DO" sz="1500"/>
        </a:p>
      </xdr:txBody>
    </xdr:sp>
    <xdr:clientData/>
  </xdr:twoCellAnchor>
  <xdr:twoCellAnchor editAs="oneCell">
    <xdr:from>
      <xdr:col>4</xdr:col>
      <xdr:colOff>347663</xdr:colOff>
      <xdr:row>7</xdr:row>
      <xdr:rowOff>196850</xdr:rowOff>
    </xdr:from>
    <xdr:to>
      <xdr:col>5</xdr:col>
      <xdr:colOff>633413</xdr:colOff>
      <xdr:row>8</xdr:row>
      <xdr:rowOff>95250</xdr:rowOff>
    </xdr:to>
    <xdr:sp macro="" textlink="$T$10">
      <xdr:nvSpPr>
        <xdr:cNvPr id="5" name="Centro 6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/>
        <a:lstStyle/>
        <a:p>
          <a:pPr algn="ctr"/>
          <a:fld id="{0098A23D-1B2C-4D3E-8F4A-5B6C7D8E9F0A}" type="TxLink">
            <a:rPr lang="es-DO" sz="800" b="0">
              <a:solidFill>
                <a:srgbClr val="6B6D66"/>
              </a:solidFill>
              <a:latin typeface="Segoe UI"/>
            </a:rPr>
            <a:pPr algn="ctr"/>
            <a:t/>
          </a:fld>
          <a:endParaRPr lang="es-DO" sz="800"/>
        </a:p>
      </xdr:txBody>
    </xdr:sp>
    <xdr:clientData/>
  </xdr:twoCellAnchor>
</xdr:wsDr>
</file>

<file path=xl/tables/table1.xml><?xml version="1.0" encoding="utf-8"?>
<table xmlns="http://schemas.openxmlformats.org/spreadsheetml/2006/main" id="1" name="Fijos_2026_08" displayName="Fijos_2026_08" ref="B15:H30" totalsRowShown="0">
  <tableColumns count="7">
    <tableColumn id="1" name="Pagado"/>
    <tableColumn id="2" name="Concepto"/>
    <tableColumn id="3" name="Día de cobro"/>
    <tableColumn id="4" name="Monto"/>
    <tableColumn id="5" name="Moneda"/>
    <tableColumn id="6" name="DOP">
      <calculatedColumnFormula>IF(Fijos_2026_08[[#This Row],[Monto]]="","",IF(Fijos_2026_08[[#This Row],[Moneda]]="USD",Fijos_2026_08[[#This Row],[Monto]]*$T$3,Fijos_2026_08[[#This Row],[Monto]]))</calculatedColumnFormula>
    </tableColumn>
    <tableColumn id="7" name="USD">
      <calculatedColumnFormula>IF(Fijos_2026_08[[#This Row],[DOP]]="","",Fijos_2026_08[[#This Row],[DOP]]/$T$3)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Env_2026_08" displayName="Env_2026_08" ref="M29:Q34" totalsRowShown="0">
  <tableColumns count="5">
    <tableColumn id="1" name="Fecha"/>
    <tableColumn id="2" name="Vía"/>
    <tableColumn id="3" name="USD"/>
    <tableColumn id="4" name="Tasa"/>
    <tableColumn id="5" name="DOP">
      <calculatedColumnFormula>IF(Env_2026_08[[#This Row],[USD]]="","",Env_2026_08[[#This Row],[USD]]*Env_2026_08[[#This Row],[Tasa]])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Tx_2026_08" displayName="Tx_2026_08" ref="B38:K60" totalsRowShown="0">
  <tableColumns count="10">
    <tableColumn id="1" name="Fecha"/>
    <tableColumn id="2" name="Descripción"/>
    <tableColumn id="3" name="Lugar"/>
    <tableColumn id="4" name="Categoría"/>
    <tableColumn id="5" name="Método"/>
    <tableColumn id="6" name="Monto"/>
    <tableColumn id="7" name="Moneda"/>
    <tableColumn id="8" name="DOP">
      <calculatedColumnFormula>IF(Tx_2026_08[[#This Row],[Monto]]="","",IF(Tx_2026_08[[#This Row],[Moneda]]="USD",Tx_2026_08[[#This Row],[Monto]]*$T$3,Tx_2026_08[[#This Row],[Monto]]))</calculatedColumnFormula>
    </tableColumn>
    <tableColumn id="9" name="USD">
      <calculatedColumnFormula>IF(Tx_2026_08[[#This Row],[DOP]]="","",Tx_2026_08[[#This Row],[DOP]]/$T$3)</calculatedColumnFormula>
    </tableColumn>
    <tableColumn id="10" name="Notas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Fijos_2026_09" displayName="Fijos_2026_09" ref="B15:H30" totalsRowShown="0">
  <tableColumns count="7">
    <tableColumn id="1" name="Pagado"/>
    <tableColumn id="2" name="Concepto"/>
    <tableColumn id="3" name="Día de cobro"/>
    <tableColumn id="4" name="Monto"/>
    <tableColumn id="5" name="Moneda"/>
    <tableColumn id="6" name="DOP">
      <calculatedColumnFormula>IF(Fijos_2026_09[[#This Row],[Monto]]="","",IF(Fijos_2026_09[[#This Row],[Moneda]]="USD",Fijos_2026_09[[#This Row],[Monto]]*$T$3,Fijos_2026_09[[#This Row],[Monto]]))</calculatedColumnFormula>
    </tableColumn>
    <tableColumn id="7" name="USD">
      <calculatedColumnFormula>IF(Fijos_2026_09[[#This Row],[DOP]]="","",Fijos_2026_09[[#This Row],[DOP]]/$T$3)</calculatedColumnFormula>
    </tableColumn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id="5" name="Env_2026_09" displayName="Env_2026_09" ref="M29:Q34" totalsRowShown="0">
  <tableColumns count="5">
    <tableColumn id="1" name="Fecha"/>
    <tableColumn id="2" name="Vía"/>
    <tableColumn id="3" name="USD"/>
    <tableColumn id="4" name="Tasa"/>
    <tableColumn id="5" name="DOP">
      <calculatedColumnFormula>IF(Env_2026_09[[#This Row],[USD]]="","",Env_2026_09[[#This Row],[USD]]*Env_2026_09[[#This Row],[Tasa]])</calculatedColumnFormula>
    </tableColumn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id="6" name="Tx_2026_09" displayName="Tx_2026_09" ref="B38:K60" totalsRowShown="0">
  <tableColumns count="10">
    <tableColumn id="1" name="Fecha"/>
    <tableColumn id="2" name="Descripción"/>
    <tableColumn id="3" name="Lugar"/>
    <tableColumn id="4" name="Categoría"/>
    <tableColumn id="5" name="Método"/>
    <tableColumn id="6" name="Monto"/>
    <tableColumn id="7" name="Moneda"/>
    <tableColumn id="8" name="DOP">
      <calculatedColumnFormula>IF(Tx_2026_09[[#This Row],[Monto]]="","",IF(Tx_2026_09[[#This Row],[Moneda]]="USD",Tx_2026_09[[#This Row],[Monto]]*$T$3,Tx_2026_09[[#This Row],[Monto]]))</calculatedColumnFormula>
    </tableColumn>
    <tableColumn id="9" name="USD">
      <calculatedColumnFormula>IF(Tx_2026_09[[#This Row],[DOP]]="","",Tx_2026_09[[#This Row],[DOP]]/$T$3)</calculatedColumnFormula>
    </tableColumn>
    <tableColumn id="10" name="Notas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id="7" name="Fijos_2026_10" displayName="Fijos_2026_10" ref="B15:H30" totalsRowShown="0">
  <tableColumns count="7">
    <tableColumn id="1" name="Pagado"/>
    <tableColumn id="2" name="Concepto"/>
    <tableColumn id="3" name="Día de cobro"/>
    <tableColumn id="4" name="Monto"/>
    <tableColumn id="5" name="Moneda"/>
    <tableColumn id="6" name="DOP">
      <calculatedColumnFormula>IF(Fijos_2026_10[[#This Row],[Monto]]="","",IF(Fijos_2026_10[[#This Row],[Moneda]]="USD",Fijos_2026_10[[#This Row],[Monto]]*$T$3,Fijos_2026_10[[#This Row],[Monto]]))</calculatedColumnFormula>
    </tableColumn>
    <tableColumn id="7" name="USD">
      <calculatedColumnFormula>IF(Fijos_2026_10[[#This Row],[DOP]]="","",Fijos_2026_10[[#This Row],[DOP]]/$T$3)</calculatedColumnFormula>
    </tableColumn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id="8" name="Env_2026_10" displayName="Env_2026_10" ref="M29:Q34" totalsRowShown="0">
  <tableColumns count="5">
    <tableColumn id="1" name="Fecha"/>
    <tableColumn id="2" name="Vía"/>
    <tableColumn id="3" name="USD"/>
    <tableColumn id="4" name="Tasa"/>
    <tableColumn id="5" name="DOP">
      <calculatedColumnFormula>IF(Env_2026_10[[#This Row],[USD]]="","",Env_2026_10[[#This Row],[USD]]*Env_2026_10[[#This Row],[Tasa]])</calculatedColumnFormula>
    </tableColumn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id="9" name="Tx_2026_10" displayName="Tx_2026_10" ref="B38:K57" totalsRowShown="0">
  <tableColumns count="10">
    <tableColumn id="1" name="Fecha"/>
    <tableColumn id="2" name="Descripción"/>
    <tableColumn id="3" name="Lugar"/>
    <tableColumn id="4" name="Categoría"/>
    <tableColumn id="5" name="Método"/>
    <tableColumn id="6" name="Monto"/>
    <tableColumn id="7" name="Moneda"/>
    <tableColumn id="8" name="DOP">
      <calculatedColumnFormula>IF(Tx_2026_10[[#This Row],[Monto]]="","",IF(Tx_2026_10[[#This Row],[Moneda]]="USD",Tx_2026_10[[#This Row],[Monto]]*$T$3,Tx_2026_10[[#This Row],[Monto]]))</calculatedColumnFormula>
    </tableColumn>
    <tableColumn id="9" name="USD">
      <calculatedColumnFormula>IF(Tx_2026_10[[#This Row],[DOP]]="","",Tx_2026_10[[#This Row],[DOP]]/$T$3)</calculatedColumnFormula>
    </tableColumn>
    <tableColumn id="10" name="Notas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id="10" name="Aportes" displayName="Aportes" ref="I15:O33" totalsRowShown="0">
  <tableColumns count="7">
    <tableColumn id="1" name="Fecha"/>
    <tableColumn id="2" name="Mes">
      <calculatedColumnFormula>IF(Aportes[[#This Row],[Fecha]]="","",CHOOSE(MONTH(Aportes[[#This Row],[Fecha]]),"Enero","Febrero","Marzo","Abril","Mayo","Junio","Julio","Agosto","Septiembre","Octubre","Noviembre","Diciembre")&amp;" "&amp;YEAR(Aportes[[#This Row],[Fecha]]))</calculatedColumnFormula>
    </tableColumn>
    <tableColumn id="3" name="Meta"/>
    <tableColumn id="4" name="Monto"/>
    <tableColumn id="5" name="Moneda"/>
    <tableColumn id="6" name="USD">
      <calculatedColumnFormula>IF(Aportes[[#This Row],[Monto]]="","",IF(Aportes[[#This Row],[Moneda]]="USD",Aportes[[#This Row],[Monto]],Aportes[[#This Row],[Monto]]/IFERROR(INDIRECT("'"&amp;Aportes[[#This Row],[Mes]]&amp;"'!T3"),Config!$C$4)))</calculatedColumnFormula>
    </tableColumn>
    <tableColumn id="7" name="DOP">
      <calculatedColumnFormula>IF(Aportes[[#This Row],[USD]]="","",Aportes[[#This Row],[USD]]*IFERROR(INDIRECT("'"&amp;Aportes[[#This Row],[Mes]]&amp;"'!T3"),Config!$C$4))</calculatedColumnFormula>
    </tableColumn>
  </tableColumns>
  <tableStyleInfo showFirstColumn="0" showLastColumn="0" showRowStripes="0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<Relationship Id="rId3" Type="http://schemas.openxmlformats.org/officeDocument/2006/relationships/table" Target="../tables/table5.xml"/><Relationship Id="rId4" Type="http://schemas.openxmlformats.org/officeDocument/2006/relationships/table" Target="../tables/table6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7.xml"/><Relationship Id="rId3" Type="http://schemas.openxmlformats.org/officeDocument/2006/relationships/table" Target="../tables/table8.xml"/><Relationship Id="rId4" Type="http://schemas.openxmlformats.org/officeDocument/2006/relationships/table" Target="../tables/table9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F7D52"/>
  </sheetPr>
  <sheetViews>
    <sheetView workbookViewId="0" showGridLines="0" zoomScale="100"/>
  </sheetViews>
  <sheetFormatPr defaultRowHeight="20" customHeight="1"/>
  <cols>
    <col min="1" max="1" width="2" style="1" customWidth="1"/>
    <col min="2" max="2" width="16" style="1" customWidth="1"/>
    <col min="3" max="3" width="22" style="1" customWidth="1"/>
    <col min="4" max="4" width="16" style="1" customWidth="1"/>
    <col min="5" max="5" width="15" style="1" customWidth="1"/>
    <col min="6" max="6" width="14" style="1" customWidth="1"/>
    <col min="7" max="7" width="12" style="1" customWidth="1"/>
    <col min="8" max="8" width="8" style="1" customWidth="1"/>
    <col min="9" max="9" width="13" style="1" customWidth="1"/>
    <col min="10" max="10" width="12" style="1" customWidth="1"/>
    <col min="11" max="11" width="18" style="1" customWidth="1"/>
    <col min="12" max="12" width="3" style="1" customWidth="1"/>
    <col min="13" max="13" width="11" style="1" customWidth="1"/>
    <col min="14" max="14" width="10" style="1" customWidth="1"/>
    <col min="15" max="15" width="10" style="1" customWidth="1"/>
    <col min="16" max="16" width="8" style="1" customWidth="1"/>
    <col min="17" max="17" width="12" style="1" customWidth="1"/>
    <col min="18" max="18" width="2" style="1" customWidth="1"/>
    <col min="19" max="19" width="2" style="1" customWidth="1"/>
    <col min="20" max="20" width="14" style="1" customWidth="1" hidden="1"/>
    <col min="21" max="60" width="9" style="1"/>
  </cols>
  <sheetData>
    <row r="1" s="1" customFormat="1" ht="26" customHeight="1">
      <c r="A1" s="2"/>
      <c r="B1" s="3" t="s">
        <v>0</v>
      </c>
      <c r="C1" s="2"/>
      <c r="D1" s="4" t="s">
        <v>1</v>
      </c>
      <c r="E1" s="2"/>
      <c r="F1" s="2"/>
      <c r="G1" s="2"/>
      <c r="H1" s="2"/>
      <c r="I1" s="2"/>
      <c r="J1" s="2"/>
      <c r="K1" s="2"/>
      <c r="L1" s="2"/>
      <c r="M1" s="5" t="s">
        <v>2</v>
      </c>
      <c r="N1" s="6">
        <f>"1 USD = "&amp;FIXED($T$3,2)&amp;" DOP"</f>
      </c>
      <c r="O1" s="2"/>
      <c r="P1" s="2"/>
      <c r="Q1" s="2"/>
      <c r="R1" s="2"/>
    </row>
    <row r="2" s="1" customFormat="1" ht="16" customHeight="1">
      <c r="B2" s="7" t="s">
        <v>3</v>
      </c>
      <c r="T2" s="8" t="s">
        <v>4</v>
      </c>
    </row>
    <row r="3" s="1" customFormat="1" ht="6" customHeight="1">
      <c r="T3" s="0">
        <f>IFERROR(SUMPRODUCT(Env_2026_08[USD],Env_2026_08[Tasa])/SUM(Env_2026_08[USD]),Config!$C$4)</f>
      </c>
    </row>
    <row r="4" s="1" customFormat="1" ht="18" customHeight="1">
      <c r="B4" s="9" t="s">
        <v>5</v>
      </c>
      <c r="C4" s="10"/>
      <c r="D4" s="11"/>
      <c r="E4" s="12"/>
      <c r="F4" s="10"/>
      <c r="G4" s="13" t="s">
        <v>6</v>
      </c>
      <c r="H4" s="10"/>
      <c r="I4" s="11"/>
      <c r="J4" s="9">
        <f>UPPER($D$1)</f>
      </c>
      <c r="K4" s="10"/>
      <c r="L4" s="10"/>
      <c r="M4" s="10"/>
      <c r="N4" s="10"/>
      <c r="O4" s="10"/>
      <c r="P4" s="10"/>
      <c r="Q4" s="11"/>
      <c r="T4" s="0">
        <f>SUMIFS(Fijos_2026_08[DOP],Fijos_2026_08[Pagado],"Sí")</f>
      </c>
    </row>
    <row r="5" s="1" customFormat="1" ht="28" customHeight="1">
      <c r="B5" s="14">
        <f>C8*$T$3+C9</f>
      </c>
      <c r="C5" s="15"/>
      <c r="D5" s="16"/>
      <c r="E5" s="17"/>
      <c r="F5" s="15"/>
      <c r="G5" s="15"/>
      <c r="H5" s="15"/>
      <c r="I5" s="16"/>
      <c r="J5" s="18">
        <f>FIXED(100*$T$8/MAX(1,O6),1)&amp;"% del presupuesto usado"</f>
      </c>
      <c r="K5" s="15"/>
      <c r="L5" s="15"/>
      <c r="M5" s="15"/>
      <c r="N5" s="15"/>
      <c r="O5" s="15"/>
      <c r="P5" s="15"/>
      <c r="Q5" s="16"/>
      <c r="T5" s="0">
        <f>SUM(Tx_2026_08[DOP])</f>
      </c>
    </row>
    <row r="6" s="1" customFormat="1" ht="18" customHeight="1">
      <c r="B6" s="19">
        <f>C8+C9/$T$3</f>
      </c>
      <c r="C6" s="15"/>
      <c r="D6" s="16"/>
      <c r="E6" s="17"/>
      <c r="F6" s="15"/>
      <c r="G6" s="15" t="s">
        <v>7</v>
      </c>
      <c r="H6" s="15"/>
      <c r="I6" s="20">
        <f>$T$4</f>
      </c>
      <c r="J6" s="21" t="s">
        <v>8</v>
      </c>
      <c r="K6" s="22"/>
      <c r="L6" s="22"/>
      <c r="M6" s="22"/>
      <c r="N6" s="22"/>
      <c r="O6" s="23">
        <v>70000</v>
      </c>
      <c r="P6" s="22"/>
      <c r="Q6" s="24"/>
      <c r="T6" s="0">
        <f>SUMIFS(Fijos_2026_08[DOP],Fijos_2026_08[Pagado],"No")</f>
      </c>
    </row>
    <row r="7" s="1" customFormat="1" ht="10" customHeight="1">
      <c r="B7" s="17"/>
      <c r="C7" s="15"/>
      <c r="D7" s="16"/>
      <c r="E7" s="17"/>
      <c r="F7" s="15"/>
      <c r="G7" s="15"/>
      <c r="H7" s="15"/>
      <c r="I7" s="16"/>
      <c r="J7" s="17"/>
      <c r="K7" s="15"/>
      <c r="L7" s="15"/>
      <c r="M7" s="15"/>
      <c r="N7" s="15"/>
      <c r="O7" s="15"/>
      <c r="P7" s="15"/>
      <c r="Q7" s="16"/>
      <c r="T7" s="0">
        <f>MAX(0,O6-T4-T5-T6)</f>
      </c>
    </row>
    <row r="8" s="1" customFormat="1" ht="20" customHeight="1">
      <c r="B8" s="25" t="s">
        <v>9</v>
      </c>
      <c r="C8" s="26">
        <v>3900</v>
      </c>
      <c r="D8" s="27" t="s">
        <v>10</v>
      </c>
      <c r="E8" s="17"/>
      <c r="F8" s="15"/>
      <c r="G8" s="15" t="s">
        <v>11</v>
      </c>
      <c r="H8" s="15"/>
      <c r="I8" s="20">
        <f>$T$5</f>
      </c>
      <c r="J8" s="28" t="s">
        <v>12</v>
      </c>
      <c r="K8" s="22"/>
      <c r="L8" s="22"/>
      <c r="M8" s="22"/>
      <c r="N8" s="22"/>
      <c r="O8" s="29">
        <f>$T$8</f>
      </c>
      <c r="P8" s="22"/>
      <c r="Q8" s="24"/>
      <c r="T8" s="0">
        <f>T4+T5</f>
      </c>
    </row>
    <row r="9" s="1" customFormat="1" ht="20" customHeight="1">
      <c r="B9" s="25" t="s">
        <v>13</v>
      </c>
      <c r="C9" s="26">
        <v>78200</v>
      </c>
      <c r="D9" s="27" t="s">
        <v>14</v>
      </c>
      <c r="E9" s="17"/>
      <c r="F9" s="15"/>
      <c r="G9" s="15" t="s">
        <v>15</v>
      </c>
      <c r="H9" s="15"/>
      <c r="I9" s="20">
        <f>$T$6</f>
      </c>
      <c r="J9" s="28" t="s">
        <v>16</v>
      </c>
      <c r="K9" s="22"/>
      <c r="L9" s="22"/>
      <c r="M9" s="22"/>
      <c r="N9" s="22"/>
      <c r="O9" s="30">
        <f>O6-O8</f>
      </c>
      <c r="P9" s="22"/>
      <c r="Q9" s="24"/>
      <c r="T9" s="0">
        <f>FIXED(T8,0)</f>
      </c>
    </row>
    <row r="10" s="1" customFormat="1" ht="20" customHeight="1">
      <c r="B10" s="25" t="s">
        <v>17</v>
      </c>
      <c r="C10" s="26">
        <v>5800</v>
      </c>
      <c r="D10" s="27" t="s">
        <v>10</v>
      </c>
      <c r="E10" s="17"/>
      <c r="F10" s="15"/>
      <c r="G10" s="15" t="s">
        <v>18</v>
      </c>
      <c r="H10" s="15"/>
      <c r="I10" s="20">
        <f>$T$7</f>
      </c>
      <c r="J10" s="25" t="s">
        <v>19</v>
      </c>
      <c r="K10" s="22"/>
      <c r="L10" s="22"/>
      <c r="M10" s="22"/>
      <c r="N10" s="22"/>
      <c r="O10" s="31">
        <f>O9-$T$6</f>
      </c>
      <c r="P10" s="22"/>
      <c r="Q10" s="24"/>
      <c r="T10" s="0">
        <f>"de "&amp;FIXED(O6,0)&amp;" DOP"</f>
      </c>
    </row>
    <row r="11" s="1" customFormat="1" ht="20" customHeight="1">
      <c r="B11" s="32" t="s">
        <v>20</v>
      </c>
      <c r="C11" s="33">
        <f>C10*$T$3-$T$8</f>
      </c>
      <c r="D11" s="16"/>
      <c r="E11" s="17"/>
      <c r="F11" s="15"/>
      <c r="G11" s="15"/>
      <c r="H11" s="15"/>
      <c r="I11" s="16"/>
      <c r="J11" s="25" t="s">
        <v>21</v>
      </c>
      <c r="K11" s="22"/>
      <c r="L11" s="22"/>
      <c r="M11" s="22"/>
      <c r="N11" s="22"/>
      <c r="O11" s="31">
        <f>$T$8/$T$3</f>
      </c>
      <c r="P11" s="22"/>
      <c r="Q11" s="24"/>
    </row>
    <row r="12" s="1" customFormat="1" ht="10" customHeight="1">
      <c r="B12" s="34"/>
      <c r="C12" s="35"/>
      <c r="D12" s="36"/>
      <c r="E12" s="34"/>
      <c r="F12" s="35"/>
      <c r="G12" s="35"/>
      <c r="H12" s="35"/>
      <c r="I12" s="36"/>
      <c r="J12" s="34"/>
      <c r="K12" s="35"/>
      <c r="L12" s="35"/>
      <c r="M12" s="35"/>
      <c r="N12" s="35"/>
      <c r="O12" s="35"/>
      <c r="P12" s="35"/>
      <c r="Q12" s="36"/>
    </row>
    <row r="13" s="1" customFormat="1" ht="10" customHeight="1"/>
    <row r="14" s="1" customFormat="1" ht="26" customHeight="1">
      <c r="B14" s="37" t="s">
        <v>22</v>
      </c>
      <c r="C14" s="10"/>
      <c r="D14" s="10"/>
      <c r="E14" s="10"/>
      <c r="F14" s="10"/>
      <c r="G14" s="10"/>
      <c r="H14" s="38">
        <f>COUNTIFS(Fijos_2026_08[Pagado],"Sí")&amp;" de "&amp;COUNTA(Fijos_2026_08[Concepto])&amp;" pagados · total "&amp;FIXED(SUM(Fijos_2026_08[DOP]),2)&amp;" DOP"</f>
      </c>
      <c r="I14" s="10"/>
      <c r="J14" s="10"/>
      <c r="K14" s="11"/>
      <c r="M14" s="37" t="s">
        <v>23</v>
      </c>
      <c r="N14" s="10"/>
      <c r="O14" s="10"/>
      <c r="P14" s="10"/>
      <c r="Q14" s="39" t="s">
        <v>14</v>
      </c>
    </row>
    <row r="15" s="1" customFormat="1">
      <c r="B15" s="40" t="s">
        <v>24</v>
      </c>
      <c r="C15" s="41" t="s">
        <v>25</v>
      </c>
      <c r="D15" s="41" t="s">
        <v>26</v>
      </c>
      <c r="E15" s="42" t="s">
        <v>27</v>
      </c>
      <c r="F15" s="41" t="s">
        <v>28</v>
      </c>
      <c r="G15" s="42" t="s">
        <v>14</v>
      </c>
      <c r="H15" s="42" t="s">
        <v>10</v>
      </c>
      <c r="I15" s="15"/>
      <c r="J15" s="15"/>
      <c r="K15" s="16"/>
      <c r="M15" s="17" t="s">
        <v>29</v>
      </c>
      <c r="N15" s="15"/>
      <c r="O15" s="43">
        <f>Q15</f>
      </c>
      <c r="P15" s="15"/>
      <c r="Q15" s="20">
        <f>$T$4</f>
      </c>
    </row>
    <row r="16" s="1" customFormat="1">
      <c r="B16" s="44" t="s">
        <v>30</v>
      </c>
      <c r="C16" s="45" t="s">
        <v>31</v>
      </c>
      <c r="D16" s="46"/>
      <c r="E16" s="47">
        <v>1290.4</v>
      </c>
      <c r="F16" s="46" t="s">
        <v>14</v>
      </c>
      <c r="G16" s="48">
        <f>IF(Fijos_2026_08[[#This Row],[Monto]]="","",IF(Fijos_2026_08[[#This Row],[Moneda]]="USD",Fijos_2026_08[[#This Row],[Monto]]*$T$3,Fijos_2026_08[[#This Row],[Monto]]))</f>
      </c>
      <c r="H16" s="49">
        <f>IF(Fijos_2026_08[[#This Row],[DOP]]="","",Fijos_2026_08[[#This Row],[DOP]]/$T$3)</f>
      </c>
      <c r="I16" s="15"/>
      <c r="J16" s="15"/>
      <c r="K16" s="16"/>
      <c r="M16" s="17" t="s">
        <v>32</v>
      </c>
      <c r="N16" s="15"/>
      <c r="O16" s="43">
        <f>Q16</f>
      </c>
      <c r="P16" s="15"/>
      <c r="Q16" s="20">
        <f>SUMIFS(Tx_2026_08[DOP],Tx_2026_08[Categoría],M16)</f>
      </c>
    </row>
    <row r="17" s="1" customFormat="1">
      <c r="B17" s="44" t="s">
        <v>30</v>
      </c>
      <c r="C17" s="45" t="s">
        <v>33</v>
      </c>
      <c r="D17" s="46"/>
      <c r="E17" s="47">
        <v>2699</v>
      </c>
      <c r="F17" s="46" t="s">
        <v>14</v>
      </c>
      <c r="G17" s="48">
        <f>IF(Fijos_2026_08[[#This Row],[Monto]]="","",IF(Fijos_2026_08[[#This Row],[Moneda]]="USD",Fijos_2026_08[[#This Row],[Monto]]*$T$3,Fijos_2026_08[[#This Row],[Monto]]))</f>
      </c>
      <c r="H17" s="49">
        <f>IF(Fijos_2026_08[[#This Row],[DOP]]="","",Fijos_2026_08[[#This Row],[DOP]]/$T$3)</f>
      </c>
      <c r="I17" s="15"/>
      <c r="J17" s="15"/>
      <c r="K17" s="16"/>
      <c r="M17" s="17" t="s">
        <v>34</v>
      </c>
      <c r="N17" s="15"/>
      <c r="O17" s="43">
        <f>Q17</f>
      </c>
      <c r="P17" s="15"/>
      <c r="Q17" s="20">
        <f>SUMIFS(Tx_2026_08[DOP],Tx_2026_08[Categoría],M17)</f>
      </c>
    </row>
    <row r="18" s="1" customFormat="1">
      <c r="B18" s="44" t="s">
        <v>30</v>
      </c>
      <c r="C18" s="45" t="s">
        <v>35</v>
      </c>
      <c r="D18" s="46"/>
      <c r="E18" s="47">
        <v>5640</v>
      </c>
      <c r="F18" s="46" t="s">
        <v>14</v>
      </c>
      <c r="G18" s="48">
        <f>IF(Fijos_2026_08[[#This Row],[Monto]]="","",IF(Fijos_2026_08[[#This Row],[Moneda]]="USD",Fijos_2026_08[[#This Row],[Monto]]*$T$3,Fijos_2026_08[[#This Row],[Monto]]))</f>
      </c>
      <c r="H18" s="49">
        <f>IF(Fijos_2026_08[[#This Row],[DOP]]="","",Fijos_2026_08[[#This Row],[DOP]]/$T$3)</f>
      </c>
      <c r="I18" s="15"/>
      <c r="J18" s="15"/>
      <c r="K18" s="16"/>
      <c r="M18" s="17" t="s">
        <v>36</v>
      </c>
      <c r="N18" s="15"/>
      <c r="O18" s="43">
        <f>Q18</f>
      </c>
      <c r="P18" s="15"/>
      <c r="Q18" s="20">
        <f>SUMIFS(Tx_2026_08[DOP],Tx_2026_08[Categoría],M18)</f>
      </c>
    </row>
    <row r="19" s="1" customFormat="1">
      <c r="B19" s="44" t="s">
        <v>30</v>
      </c>
      <c r="C19" s="45" t="s">
        <v>37</v>
      </c>
      <c r="D19" s="46"/>
      <c r="E19" s="47">
        <v>15000</v>
      </c>
      <c r="F19" s="46" t="s">
        <v>14</v>
      </c>
      <c r="G19" s="48">
        <f>IF(Fijos_2026_08[[#This Row],[Monto]]="","",IF(Fijos_2026_08[[#This Row],[Moneda]]="USD",Fijos_2026_08[[#This Row],[Monto]]*$T$3,Fijos_2026_08[[#This Row],[Monto]]))</f>
      </c>
      <c r="H19" s="49">
        <f>IF(Fijos_2026_08[[#This Row],[DOP]]="","",Fijos_2026_08[[#This Row],[DOP]]/$T$3)</f>
      </c>
      <c r="I19" s="15"/>
      <c r="J19" s="15"/>
      <c r="K19" s="16"/>
      <c r="M19" s="17" t="s">
        <v>38</v>
      </c>
      <c r="N19" s="15"/>
      <c r="O19" s="43">
        <f>Q19</f>
      </c>
      <c r="P19" s="15"/>
      <c r="Q19" s="20">
        <f>SUMIFS(Tx_2026_08[DOP],Tx_2026_08[Categoría],M19)</f>
      </c>
    </row>
    <row r="20" s="1" customFormat="1">
      <c r="B20" s="44" t="s">
        <v>30</v>
      </c>
      <c r="C20" s="45" t="s">
        <v>39</v>
      </c>
      <c r="D20" s="46">
        <v>5</v>
      </c>
      <c r="E20" s="47">
        <v>106</v>
      </c>
      <c r="F20" s="46" t="s">
        <v>10</v>
      </c>
      <c r="G20" s="48">
        <f>IF(Fijos_2026_08[[#This Row],[Monto]]="","",IF(Fijos_2026_08[[#This Row],[Moneda]]="USD",Fijos_2026_08[[#This Row],[Monto]]*$T$3,Fijos_2026_08[[#This Row],[Monto]]))</f>
      </c>
      <c r="H20" s="49">
        <f>IF(Fijos_2026_08[[#This Row],[DOP]]="","",Fijos_2026_08[[#This Row],[DOP]]/$T$3)</f>
      </c>
      <c r="I20" s="15"/>
      <c r="J20" s="15"/>
      <c r="K20" s="16"/>
      <c r="M20" s="17" t="s">
        <v>40</v>
      </c>
      <c r="N20" s="15"/>
      <c r="O20" s="43">
        <f>Q20</f>
      </c>
      <c r="P20" s="15"/>
      <c r="Q20" s="20">
        <f>SUMIFS(Tx_2026_08[DOP],Tx_2026_08[Categoría],M20)</f>
      </c>
    </row>
    <row r="21" s="1" customFormat="1">
      <c r="B21" s="44" t="s">
        <v>30</v>
      </c>
      <c r="C21" s="45" t="s">
        <v>41</v>
      </c>
      <c r="D21" s="46">
        <v>16</v>
      </c>
      <c r="E21" s="47">
        <v>121.56</v>
      </c>
      <c r="F21" s="46" t="s">
        <v>14</v>
      </c>
      <c r="G21" s="48">
        <f>IF(Fijos_2026_08[[#This Row],[Monto]]="","",IF(Fijos_2026_08[[#This Row],[Moneda]]="USD",Fijos_2026_08[[#This Row],[Monto]]*$T$3,Fijos_2026_08[[#This Row],[Monto]]))</f>
      </c>
      <c r="H21" s="49">
        <f>IF(Fijos_2026_08[[#This Row],[DOP]]="","",Fijos_2026_08[[#This Row],[DOP]]/$T$3)</f>
      </c>
      <c r="I21" s="15"/>
      <c r="J21" s="15"/>
      <c r="K21" s="16"/>
      <c r="M21" s="17" t="s">
        <v>42</v>
      </c>
      <c r="N21" s="15"/>
      <c r="O21" s="43">
        <f>Q21</f>
      </c>
      <c r="P21" s="15"/>
      <c r="Q21" s="20">
        <f>SUMIFS(Tx_2026_08[DOP],Tx_2026_08[Categoría],M21)</f>
      </c>
    </row>
    <row r="22" s="1" customFormat="1">
      <c r="B22" s="44" t="s">
        <v>30</v>
      </c>
      <c r="C22" s="45" t="s">
        <v>43</v>
      </c>
      <c r="D22" s="46">
        <v>17</v>
      </c>
      <c r="E22" s="47">
        <v>604</v>
      </c>
      <c r="F22" s="46" t="s">
        <v>14</v>
      </c>
      <c r="G22" s="48">
        <f>IF(Fijos_2026_08[[#This Row],[Monto]]="","",IF(Fijos_2026_08[[#This Row],[Moneda]]="USD",Fijos_2026_08[[#This Row],[Monto]]*$T$3,Fijos_2026_08[[#This Row],[Monto]]))</f>
      </c>
      <c r="H22" s="49">
        <f>IF(Fijos_2026_08[[#This Row],[DOP]]="","",Fijos_2026_08[[#This Row],[DOP]]/$T$3)</f>
      </c>
      <c r="I22" s="15"/>
      <c r="J22" s="15"/>
      <c r="K22" s="16"/>
      <c r="M22" s="17" t="s">
        <v>44</v>
      </c>
      <c r="N22" s="15"/>
      <c r="O22" s="43">
        <f>Q22</f>
      </c>
      <c r="P22" s="15"/>
      <c r="Q22" s="20">
        <f>SUMIFS(Tx_2026_08[DOP],Tx_2026_08[Categoría],M22)</f>
      </c>
    </row>
    <row r="23" s="1" customFormat="1">
      <c r="B23" s="44" t="s">
        <v>30</v>
      </c>
      <c r="C23" s="45" t="s">
        <v>45</v>
      </c>
      <c r="D23" s="46"/>
      <c r="E23" s="47">
        <v>308</v>
      </c>
      <c r="F23" s="46" t="s">
        <v>14</v>
      </c>
      <c r="G23" s="48">
        <f>IF(Fijos_2026_08[[#This Row],[Monto]]="","",IF(Fijos_2026_08[[#This Row],[Moneda]]="USD",Fijos_2026_08[[#This Row],[Monto]]*$T$3,Fijos_2026_08[[#This Row],[Monto]]))</f>
      </c>
      <c r="H23" s="49">
        <f>IF(Fijos_2026_08[[#This Row],[DOP]]="","",Fijos_2026_08[[#This Row],[DOP]]/$T$3)</f>
      </c>
      <c r="I23" s="15"/>
      <c r="J23" s="15"/>
      <c r="K23" s="16"/>
      <c r="M23" s="17" t="s">
        <v>46</v>
      </c>
      <c r="N23" s="15"/>
      <c r="O23" s="43">
        <f>Q23</f>
      </c>
      <c r="P23" s="15"/>
      <c r="Q23" s="20">
        <f>SUMIFS(Tx_2026_08[DOP],Tx_2026_08[Categoría],M23)</f>
      </c>
    </row>
    <row r="24" s="1" customFormat="1">
      <c r="B24" s="44" t="s">
        <v>30</v>
      </c>
      <c r="C24" s="45" t="s">
        <v>47</v>
      </c>
      <c r="D24" s="46">
        <v>17</v>
      </c>
      <c r="E24" s="47">
        <v>1550</v>
      </c>
      <c r="F24" s="46" t="s">
        <v>14</v>
      </c>
      <c r="G24" s="48">
        <f>IF(Fijos_2026_08[[#This Row],[Monto]]="","",IF(Fijos_2026_08[[#This Row],[Moneda]]="USD",Fijos_2026_08[[#This Row],[Monto]]*$T$3,Fijos_2026_08[[#This Row],[Monto]]))</f>
      </c>
      <c r="H24" s="49">
        <f>IF(Fijos_2026_08[[#This Row],[DOP]]="","",Fijos_2026_08[[#This Row],[DOP]]/$T$3)</f>
      </c>
      <c r="I24" s="15"/>
      <c r="J24" s="15"/>
      <c r="K24" s="16"/>
      <c r="M24" s="17" t="s">
        <v>48</v>
      </c>
      <c r="N24" s="15"/>
      <c r="O24" s="43">
        <f>Q24</f>
      </c>
      <c r="P24" s="15"/>
      <c r="Q24" s="20">
        <f>SUMIFS(Tx_2026_08[DOP],Tx_2026_08[Categoría],M24)</f>
      </c>
    </row>
    <row r="25" s="1" customFormat="1">
      <c r="B25" s="44" t="s">
        <v>30</v>
      </c>
      <c r="C25" s="45" t="s">
        <v>49</v>
      </c>
      <c r="D25" s="46"/>
      <c r="E25" s="47">
        <v>1137.3</v>
      </c>
      <c r="F25" s="46" t="s">
        <v>14</v>
      </c>
      <c r="G25" s="48">
        <f>IF(Fijos_2026_08[[#This Row],[Monto]]="","",IF(Fijos_2026_08[[#This Row],[Moneda]]="USD",Fijos_2026_08[[#This Row],[Monto]]*$T$3,Fijos_2026_08[[#This Row],[Monto]]))</f>
      </c>
      <c r="H25" s="49">
        <f>IF(Fijos_2026_08[[#This Row],[DOP]]="","",Fijos_2026_08[[#This Row],[DOP]]/$T$3)</f>
      </c>
      <c r="I25" s="15"/>
      <c r="J25" s="15"/>
      <c r="K25" s="16"/>
      <c r="M25" s="17" t="s">
        <v>50</v>
      </c>
      <c r="N25" s="15"/>
      <c r="O25" s="43">
        <f>Q25</f>
      </c>
      <c r="P25" s="15"/>
      <c r="Q25" s="20">
        <f>SUMIFS(Tx_2026_08[DOP],Tx_2026_08[Categoría],M25)</f>
      </c>
    </row>
    <row r="26" s="1" customFormat="1">
      <c r="B26" s="44" t="s">
        <v>30</v>
      </c>
      <c r="C26" s="45" t="s">
        <v>51</v>
      </c>
      <c r="D26" s="46"/>
      <c r="E26" s="47">
        <v>7400</v>
      </c>
      <c r="F26" s="46" t="s">
        <v>14</v>
      </c>
      <c r="G26" s="48">
        <f>IF(Fijos_2026_08[[#This Row],[Monto]]="","",IF(Fijos_2026_08[[#This Row],[Moneda]]="USD",Fijos_2026_08[[#This Row],[Monto]]*$T$3,Fijos_2026_08[[#This Row],[Monto]]))</f>
      </c>
      <c r="H26" s="49">
        <f>IF(Fijos_2026_08[[#This Row],[DOP]]="","",Fijos_2026_08[[#This Row],[DOP]]/$T$3)</f>
      </c>
      <c r="I26" s="15"/>
      <c r="J26" s="15"/>
      <c r="K26" s="16"/>
      <c r="M26" s="34"/>
      <c r="N26" s="35"/>
      <c r="O26" s="35"/>
      <c r="P26" s="35"/>
      <c r="Q26" s="36"/>
    </row>
    <row r="27" s="1" customFormat="1">
      <c r="B27" s="44"/>
      <c r="C27" s="45"/>
      <c r="D27" s="46"/>
      <c r="E27" s="47"/>
      <c r="F27" s="46"/>
      <c r="G27" s="48">
        <f>IF(Fijos_2026_08[[#This Row],[Monto]]="","",IF(Fijos_2026_08[[#This Row],[Moneda]]="USD",Fijos_2026_08[[#This Row],[Monto]]*$T$3,Fijos_2026_08[[#This Row],[Monto]]))</f>
      </c>
      <c r="H27" s="49">
        <f>IF(Fijos_2026_08[[#This Row],[DOP]]="","",Fijos_2026_08[[#This Row],[DOP]]/$T$3)</f>
      </c>
      <c r="I27" s="15"/>
      <c r="J27" s="15"/>
      <c r="K27" s="16"/>
    </row>
    <row r="28" s="1" customFormat="1">
      <c r="B28" s="44"/>
      <c r="C28" s="45"/>
      <c r="D28" s="46"/>
      <c r="E28" s="47"/>
      <c r="F28" s="46"/>
      <c r="G28" s="48">
        <f>IF(Fijos_2026_08[[#This Row],[Monto]]="","",IF(Fijos_2026_08[[#This Row],[Moneda]]="USD",Fijos_2026_08[[#This Row],[Monto]]*$T$3,Fijos_2026_08[[#This Row],[Monto]]))</f>
      </c>
      <c r="H28" s="49">
        <f>IF(Fijos_2026_08[[#This Row],[DOP]]="","",Fijos_2026_08[[#This Row],[DOP]]/$T$3)</f>
      </c>
      <c r="I28" s="15"/>
      <c r="J28" s="15"/>
      <c r="K28" s="16"/>
      <c r="M28" s="37" t="s">
        <v>52</v>
      </c>
      <c r="N28" s="10"/>
      <c r="O28" s="38">
        <f>"Promedio "&amp;FIXED($T$3,2)</f>
      </c>
      <c r="P28" s="10"/>
      <c r="Q28" s="11"/>
    </row>
    <row r="29" s="1" customFormat="1">
      <c r="B29" s="44"/>
      <c r="C29" s="45"/>
      <c r="D29" s="46"/>
      <c r="E29" s="47"/>
      <c r="F29" s="46"/>
      <c r="G29" s="48">
        <f>IF(Fijos_2026_08[[#This Row],[Monto]]="","",IF(Fijos_2026_08[[#This Row],[Moneda]]="USD",Fijos_2026_08[[#This Row],[Monto]]*$T$3,Fijos_2026_08[[#This Row],[Monto]]))</f>
      </c>
      <c r="H29" s="49">
        <f>IF(Fijos_2026_08[[#This Row],[DOP]]="","",Fijos_2026_08[[#This Row],[DOP]]/$T$3)</f>
      </c>
      <c r="I29" s="15"/>
      <c r="J29" s="15"/>
      <c r="K29" s="16"/>
      <c r="M29" s="40" t="s">
        <v>53</v>
      </c>
      <c r="N29" s="41" t="s">
        <v>54</v>
      </c>
      <c r="O29" s="42" t="s">
        <v>10</v>
      </c>
      <c r="P29" s="42" t="s">
        <v>55</v>
      </c>
      <c r="Q29" s="42" t="s">
        <v>14</v>
      </c>
    </row>
    <row r="30" s="1" customFormat="1">
      <c r="B30" s="44"/>
      <c r="C30" s="45"/>
      <c r="D30" s="46"/>
      <c r="E30" s="47"/>
      <c r="F30" s="46"/>
      <c r="G30" s="48">
        <f>IF(Fijos_2026_08[[#This Row],[Monto]]="","",IF(Fijos_2026_08[[#This Row],[Moneda]]="USD",Fijos_2026_08[[#This Row],[Monto]]*$T$3,Fijos_2026_08[[#This Row],[Monto]]))</f>
      </c>
      <c r="H30" s="49">
        <f>IF(Fijos_2026_08[[#This Row],[DOP]]="","",Fijos_2026_08[[#This Row],[DOP]]/$T$3)</f>
      </c>
      <c r="I30" s="15"/>
      <c r="J30" s="15"/>
      <c r="K30" s="16"/>
      <c r="M30" s="50">
        <v>46237</v>
      </c>
      <c r="N30" s="45" t="s">
        <v>56</v>
      </c>
      <c r="O30" s="47">
        <v>1500</v>
      </c>
      <c r="P30" s="51">
        <v>58.4</v>
      </c>
      <c r="Q30" s="47">
        <f>IF(Env_2026_08[[#This Row],[USD]]="","",Env_2026_08[[#This Row],[USD]]*Env_2026_08[[#This Row],[Tasa]])</f>
      </c>
    </row>
    <row r="31" s="1" customFormat="1" ht="6" customHeight="1">
      <c r="B31" s="34"/>
      <c r="C31" s="35"/>
      <c r="D31" s="35"/>
      <c r="E31" s="35"/>
      <c r="F31" s="35"/>
      <c r="G31" s="35"/>
      <c r="H31" s="35"/>
      <c r="I31" s="35"/>
      <c r="J31" s="35"/>
      <c r="K31" s="36"/>
      <c r="M31" s="50">
        <v>46252</v>
      </c>
      <c r="N31" s="45" t="s">
        <v>57</v>
      </c>
      <c r="O31" s="47">
        <v>300</v>
      </c>
      <c r="P31" s="51">
        <v>57.1</v>
      </c>
      <c r="Q31" s="47">
        <f>IF(Env_2026_08[[#This Row],[USD]]="","",Env_2026_08[[#This Row],[USD]]*Env_2026_08[[#This Row],[Tasa]])</f>
      </c>
    </row>
    <row r="32" s="1" customFormat="1">
      <c r="M32" s="50"/>
      <c r="N32" s="45"/>
      <c r="O32" s="47"/>
      <c r="P32" s="51"/>
      <c r="Q32" s="47">
        <f>IF(Env_2026_08[[#This Row],[USD]]="","",Env_2026_08[[#This Row],[USD]]*Env_2026_08[[#This Row],[Tasa]])</f>
      </c>
    </row>
    <row r="33" s="1" customFormat="1">
      <c r="M33" s="50"/>
      <c r="N33" s="45"/>
      <c r="O33" s="47"/>
      <c r="P33" s="51"/>
      <c r="Q33" s="47">
        <f>IF(Env_2026_08[[#This Row],[USD]]="","",Env_2026_08[[#This Row],[USD]]*Env_2026_08[[#This Row],[Tasa]])</f>
      </c>
    </row>
    <row r="34" s="1" customFormat="1">
      <c r="M34" s="50"/>
      <c r="N34" s="45"/>
      <c r="O34" s="47"/>
      <c r="P34" s="51"/>
      <c r="Q34" s="47">
        <f>IF(Env_2026_08[[#This Row],[USD]]="","",Env_2026_08[[#This Row],[USD]]*Env_2026_08[[#This Row],[Tasa]])</f>
      </c>
    </row>
    <row r="35" s="1" customFormat="1" ht="6" customHeight="1">
      <c r="M35" s="34"/>
      <c r="N35" s="35"/>
      <c r="O35" s="35"/>
      <c r="P35" s="35"/>
      <c r="Q35" s="36"/>
    </row>
    <row r="37" s="1" customFormat="1" ht="26" customHeight="1">
      <c r="B37" s="37" t="s">
        <v>58</v>
      </c>
      <c r="C37" s="10"/>
      <c r="D37" s="10"/>
      <c r="E37" s="10"/>
      <c r="F37" s="10"/>
      <c r="G37" s="10"/>
      <c r="H37" s="38">
        <f>COUNT(Tx_2026_08[Monto])&amp;" transacciones · total "&amp;FIXED($T$5,2)&amp;" DOP"</f>
      </c>
      <c r="I37" s="10"/>
      <c r="J37" s="10"/>
      <c r="K37" s="11"/>
    </row>
    <row r="38" s="1" customFormat="1">
      <c r="B38" s="40" t="s">
        <v>53</v>
      </c>
      <c r="C38" s="41" t="s">
        <v>59</v>
      </c>
      <c r="D38" s="41" t="s">
        <v>60</v>
      </c>
      <c r="E38" s="41" t="s">
        <v>61</v>
      </c>
      <c r="F38" s="41" t="s">
        <v>62</v>
      </c>
      <c r="G38" s="42" t="s">
        <v>27</v>
      </c>
      <c r="H38" s="41" t="s">
        <v>28</v>
      </c>
      <c r="I38" s="42" t="s">
        <v>14</v>
      </c>
      <c r="J38" s="42" t="s">
        <v>10</v>
      </c>
      <c r="K38" s="41" t="s">
        <v>63</v>
      </c>
    </row>
    <row r="39" s="1" customFormat="1">
      <c r="B39" s="50">
        <v>46236</v>
      </c>
      <c r="C39" s="45" t="s">
        <v>64</v>
      </c>
      <c r="D39" s="52" t="s">
        <v>65</v>
      </c>
      <c r="E39" s="45" t="s">
        <v>34</v>
      </c>
      <c r="F39" s="52" t="s">
        <v>66</v>
      </c>
      <c r="G39" s="47">
        <v>5230</v>
      </c>
      <c r="H39" s="46" t="s">
        <v>14</v>
      </c>
      <c r="I39" s="48">
        <f>IF(Tx_2026_08[[#This Row],[Monto]]="","",IF(Tx_2026_08[[#This Row],[Moneda]]="USD",Tx_2026_08[[#This Row],[Monto]]*$T$3,Tx_2026_08[[#This Row],[Monto]]))</f>
      </c>
      <c r="J39" s="49">
        <f>IF(Tx_2026_08[[#This Row],[DOP]]="","",Tx_2026_08[[#This Row],[DOP]]/$T$3)</f>
      </c>
      <c r="K39" s="53"/>
    </row>
    <row r="40" s="1" customFormat="1">
      <c r="B40" s="50">
        <v>46238</v>
      </c>
      <c r="C40" s="45" t="s">
        <v>67</v>
      </c>
      <c r="D40" s="52" t="s">
        <v>67</v>
      </c>
      <c r="E40" s="45" t="s">
        <v>36</v>
      </c>
      <c r="F40" s="52" t="s">
        <v>66</v>
      </c>
      <c r="G40" s="47">
        <v>410</v>
      </c>
      <c r="H40" s="46" t="s">
        <v>14</v>
      </c>
      <c r="I40" s="48">
        <f>IF(Tx_2026_08[[#This Row],[Monto]]="","",IF(Tx_2026_08[[#This Row],[Moneda]]="USD",Tx_2026_08[[#This Row],[Monto]]*$T$3,Tx_2026_08[[#This Row],[Monto]]))</f>
      </c>
      <c r="J40" s="49">
        <f>IF(Tx_2026_08[[#This Row],[DOP]]="","",Tx_2026_08[[#This Row],[DOP]]/$T$3)</f>
      </c>
      <c r="K40" s="53"/>
    </row>
    <row r="41" s="1" customFormat="1">
      <c r="B41" s="50">
        <v>46240</v>
      </c>
      <c r="C41" s="45" t="s">
        <v>68</v>
      </c>
      <c r="D41" s="52" t="s">
        <v>69</v>
      </c>
      <c r="E41" s="45" t="s">
        <v>32</v>
      </c>
      <c r="F41" s="52" t="s">
        <v>66</v>
      </c>
      <c r="G41" s="47">
        <v>1280</v>
      </c>
      <c r="H41" s="46" t="s">
        <v>14</v>
      </c>
      <c r="I41" s="48">
        <f>IF(Tx_2026_08[[#This Row],[Monto]]="","",IF(Tx_2026_08[[#This Row],[Moneda]]="USD",Tx_2026_08[[#This Row],[Monto]]*$T$3,Tx_2026_08[[#This Row],[Monto]]))</f>
      </c>
      <c r="J41" s="49">
        <f>IF(Tx_2026_08[[#This Row],[DOP]]="","",Tx_2026_08[[#This Row],[DOP]]/$T$3)</f>
      </c>
      <c r="K41" s="53"/>
    </row>
    <row r="42" s="1" customFormat="1">
      <c r="B42" s="50">
        <v>46243</v>
      </c>
      <c r="C42" s="45" t="s">
        <v>70</v>
      </c>
      <c r="D42" s="52" t="s">
        <v>71</v>
      </c>
      <c r="E42" s="45" t="s">
        <v>36</v>
      </c>
      <c r="F42" s="52" t="s">
        <v>66</v>
      </c>
      <c r="G42" s="47">
        <v>2200</v>
      </c>
      <c r="H42" s="46" t="s">
        <v>14</v>
      </c>
      <c r="I42" s="48">
        <f>IF(Tx_2026_08[[#This Row],[Monto]]="","",IF(Tx_2026_08[[#This Row],[Moneda]]="USD",Tx_2026_08[[#This Row],[Monto]]*$T$3,Tx_2026_08[[#This Row],[Monto]]))</f>
      </c>
      <c r="J42" s="49">
        <f>IF(Tx_2026_08[[#This Row],[DOP]]="","",Tx_2026_08[[#This Row],[DOP]]/$T$3)</f>
      </c>
      <c r="K42" s="53"/>
    </row>
    <row r="43" s="1" customFormat="1">
      <c r="B43" s="50">
        <v>46246</v>
      </c>
      <c r="C43" s="45" t="s">
        <v>72</v>
      </c>
      <c r="D43" s="52" t="s">
        <v>73</v>
      </c>
      <c r="E43" s="45" t="s">
        <v>38</v>
      </c>
      <c r="F43" s="52" t="s">
        <v>74</v>
      </c>
      <c r="G43" s="47">
        <v>2500</v>
      </c>
      <c r="H43" s="46" t="s">
        <v>14</v>
      </c>
      <c r="I43" s="48">
        <f>IF(Tx_2026_08[[#This Row],[Monto]]="","",IF(Tx_2026_08[[#This Row],[Moneda]]="USD",Tx_2026_08[[#This Row],[Monto]]*$T$3,Tx_2026_08[[#This Row],[Monto]]))</f>
      </c>
      <c r="J43" s="49">
        <f>IF(Tx_2026_08[[#This Row],[DOP]]="","",Tx_2026_08[[#This Row],[DOP]]/$T$3)</f>
      </c>
      <c r="K43" s="53"/>
    </row>
    <row r="44" s="1" customFormat="1">
      <c r="B44" s="50">
        <v>46249</v>
      </c>
      <c r="C44" s="45" t="s">
        <v>64</v>
      </c>
      <c r="D44" s="52" t="s">
        <v>75</v>
      </c>
      <c r="E44" s="45" t="s">
        <v>34</v>
      </c>
      <c r="F44" s="52" t="s">
        <v>66</v>
      </c>
      <c r="G44" s="47">
        <v>4680</v>
      </c>
      <c r="H44" s="46" t="s">
        <v>14</v>
      </c>
      <c r="I44" s="48">
        <f>IF(Tx_2026_08[[#This Row],[Monto]]="","",IF(Tx_2026_08[[#This Row],[Moneda]]="USD",Tx_2026_08[[#This Row],[Monto]]*$T$3,Tx_2026_08[[#This Row],[Monto]]))</f>
      </c>
      <c r="J44" s="49">
        <f>IF(Tx_2026_08[[#This Row],[DOP]]="","",Tx_2026_08[[#This Row],[DOP]]/$T$3)</f>
      </c>
      <c r="K44" s="53"/>
    </row>
    <row r="45" s="1" customFormat="1">
      <c r="B45" s="50">
        <v>46252</v>
      </c>
      <c r="C45" s="45" t="s">
        <v>76</v>
      </c>
      <c r="D45" s="52" t="s">
        <v>77</v>
      </c>
      <c r="E45" s="45" t="s">
        <v>42</v>
      </c>
      <c r="F45" s="52" t="s">
        <v>66</v>
      </c>
      <c r="G45" s="47">
        <v>3900</v>
      </c>
      <c r="H45" s="46" t="s">
        <v>14</v>
      </c>
      <c r="I45" s="48">
        <f>IF(Tx_2026_08[[#This Row],[Monto]]="","",IF(Tx_2026_08[[#This Row],[Moneda]]="USD",Tx_2026_08[[#This Row],[Monto]]*$T$3,Tx_2026_08[[#This Row],[Monto]]))</f>
      </c>
      <c r="J45" s="49">
        <f>IF(Tx_2026_08[[#This Row],[DOP]]="","",Tx_2026_08[[#This Row],[DOP]]/$T$3)</f>
      </c>
      <c r="K45" s="53"/>
    </row>
    <row r="46" s="1" customFormat="1">
      <c r="B46" s="50">
        <v>46255</v>
      </c>
      <c r="C46" s="45" t="s">
        <v>78</v>
      </c>
      <c r="D46" s="52" t="s">
        <v>79</v>
      </c>
      <c r="E46" s="45" t="s">
        <v>40</v>
      </c>
      <c r="F46" s="52" t="s">
        <v>80</v>
      </c>
      <c r="G46" s="47">
        <v>2500</v>
      </c>
      <c r="H46" s="46" t="s">
        <v>14</v>
      </c>
      <c r="I46" s="48">
        <f>IF(Tx_2026_08[[#This Row],[Monto]]="","",IF(Tx_2026_08[[#This Row],[Moneda]]="USD",Tx_2026_08[[#This Row],[Monto]]*$T$3,Tx_2026_08[[#This Row],[Monto]]))</f>
      </c>
      <c r="J46" s="49">
        <f>IF(Tx_2026_08[[#This Row],[DOP]]="","",Tx_2026_08[[#This Row],[DOP]]/$T$3)</f>
      </c>
      <c r="K46" s="53" t="s">
        <v>81</v>
      </c>
    </row>
    <row r="47" s="1" customFormat="1">
      <c r="B47" s="50">
        <v>46258</v>
      </c>
      <c r="C47" s="45" t="s">
        <v>82</v>
      </c>
      <c r="D47" s="52" t="s">
        <v>83</v>
      </c>
      <c r="E47" s="45" t="s">
        <v>32</v>
      </c>
      <c r="F47" s="52" t="s">
        <v>66</v>
      </c>
      <c r="G47" s="47">
        <v>3150</v>
      </c>
      <c r="H47" s="46" t="s">
        <v>14</v>
      </c>
      <c r="I47" s="48">
        <f>IF(Tx_2026_08[[#This Row],[Monto]]="","",IF(Tx_2026_08[[#This Row],[Moneda]]="USD",Tx_2026_08[[#This Row],[Monto]]*$T$3,Tx_2026_08[[#This Row],[Monto]]))</f>
      </c>
      <c r="J47" s="49">
        <f>IF(Tx_2026_08[[#This Row],[DOP]]="","",Tx_2026_08[[#This Row],[DOP]]/$T$3)</f>
      </c>
      <c r="K47" s="53"/>
    </row>
    <row r="48" s="1" customFormat="1">
      <c r="B48" s="50">
        <v>46263</v>
      </c>
      <c r="C48" s="45" t="s">
        <v>70</v>
      </c>
      <c r="D48" s="52" t="s">
        <v>84</v>
      </c>
      <c r="E48" s="45" t="s">
        <v>36</v>
      </c>
      <c r="F48" s="52" t="s">
        <v>66</v>
      </c>
      <c r="G48" s="47">
        <v>2000</v>
      </c>
      <c r="H48" s="46" t="s">
        <v>14</v>
      </c>
      <c r="I48" s="48">
        <f>IF(Tx_2026_08[[#This Row],[Monto]]="","",IF(Tx_2026_08[[#This Row],[Moneda]]="USD",Tx_2026_08[[#This Row],[Monto]]*$T$3,Tx_2026_08[[#This Row],[Monto]]))</f>
      </c>
      <c r="J48" s="49">
        <f>IF(Tx_2026_08[[#This Row],[DOP]]="","",Tx_2026_08[[#This Row],[DOP]]/$T$3)</f>
      </c>
      <c r="K48" s="53"/>
    </row>
    <row r="49" s="1" customFormat="1">
      <c r="B49" s="50"/>
      <c r="C49" s="45"/>
      <c r="D49" s="52"/>
      <c r="E49" s="45"/>
      <c r="F49" s="52"/>
      <c r="G49" s="47"/>
      <c r="H49" s="46"/>
      <c r="I49" s="48">
        <f>IF(Tx_2026_08[[#This Row],[Monto]]="","",IF(Tx_2026_08[[#This Row],[Moneda]]="USD",Tx_2026_08[[#This Row],[Monto]]*$T$3,Tx_2026_08[[#This Row],[Monto]]))</f>
      </c>
      <c r="J49" s="49">
        <f>IF(Tx_2026_08[[#This Row],[DOP]]="","",Tx_2026_08[[#This Row],[DOP]]/$T$3)</f>
      </c>
      <c r="K49" s="53"/>
    </row>
    <row r="50" s="1" customFormat="1">
      <c r="B50" s="50"/>
      <c r="C50" s="45"/>
      <c r="D50" s="52"/>
      <c r="E50" s="45"/>
      <c r="F50" s="52"/>
      <c r="G50" s="47"/>
      <c r="H50" s="46"/>
      <c r="I50" s="48">
        <f>IF(Tx_2026_08[[#This Row],[Monto]]="","",IF(Tx_2026_08[[#This Row],[Moneda]]="USD",Tx_2026_08[[#This Row],[Monto]]*$T$3,Tx_2026_08[[#This Row],[Monto]]))</f>
      </c>
      <c r="J50" s="49">
        <f>IF(Tx_2026_08[[#This Row],[DOP]]="","",Tx_2026_08[[#This Row],[DOP]]/$T$3)</f>
      </c>
      <c r="K50" s="53"/>
    </row>
    <row r="51" s="1" customFormat="1">
      <c r="B51" s="50"/>
      <c r="C51" s="45"/>
      <c r="D51" s="52"/>
      <c r="E51" s="45"/>
      <c r="F51" s="52"/>
      <c r="G51" s="47"/>
      <c r="H51" s="46"/>
      <c r="I51" s="48">
        <f>IF(Tx_2026_08[[#This Row],[Monto]]="","",IF(Tx_2026_08[[#This Row],[Moneda]]="USD",Tx_2026_08[[#This Row],[Monto]]*$T$3,Tx_2026_08[[#This Row],[Monto]]))</f>
      </c>
      <c r="J51" s="49">
        <f>IF(Tx_2026_08[[#This Row],[DOP]]="","",Tx_2026_08[[#This Row],[DOP]]/$T$3)</f>
      </c>
      <c r="K51" s="53"/>
    </row>
    <row r="52" s="1" customFormat="1">
      <c r="B52" s="50"/>
      <c r="C52" s="45"/>
      <c r="D52" s="52"/>
      <c r="E52" s="45"/>
      <c r="F52" s="52"/>
      <c r="G52" s="47"/>
      <c r="H52" s="46"/>
      <c r="I52" s="48">
        <f>IF(Tx_2026_08[[#This Row],[Monto]]="","",IF(Tx_2026_08[[#This Row],[Moneda]]="USD",Tx_2026_08[[#This Row],[Monto]]*$T$3,Tx_2026_08[[#This Row],[Monto]]))</f>
      </c>
      <c r="J52" s="49">
        <f>IF(Tx_2026_08[[#This Row],[DOP]]="","",Tx_2026_08[[#This Row],[DOP]]/$T$3)</f>
      </c>
      <c r="K52" s="53"/>
    </row>
    <row r="53" s="1" customFormat="1">
      <c r="B53" s="50"/>
      <c r="C53" s="45"/>
      <c r="D53" s="52"/>
      <c r="E53" s="45"/>
      <c r="F53" s="52"/>
      <c r="G53" s="47"/>
      <c r="H53" s="46"/>
      <c r="I53" s="48">
        <f>IF(Tx_2026_08[[#This Row],[Monto]]="","",IF(Tx_2026_08[[#This Row],[Moneda]]="USD",Tx_2026_08[[#This Row],[Monto]]*$T$3,Tx_2026_08[[#This Row],[Monto]]))</f>
      </c>
      <c r="J53" s="49">
        <f>IF(Tx_2026_08[[#This Row],[DOP]]="","",Tx_2026_08[[#This Row],[DOP]]/$T$3)</f>
      </c>
      <c r="K53" s="53"/>
    </row>
    <row r="54" s="1" customFormat="1">
      <c r="B54" s="50"/>
      <c r="C54" s="45"/>
      <c r="D54" s="52"/>
      <c r="E54" s="45"/>
      <c r="F54" s="52"/>
      <c r="G54" s="47"/>
      <c r="H54" s="46"/>
      <c r="I54" s="48">
        <f>IF(Tx_2026_08[[#This Row],[Monto]]="","",IF(Tx_2026_08[[#This Row],[Moneda]]="USD",Tx_2026_08[[#This Row],[Monto]]*$T$3,Tx_2026_08[[#This Row],[Monto]]))</f>
      </c>
      <c r="J54" s="49">
        <f>IF(Tx_2026_08[[#This Row],[DOP]]="","",Tx_2026_08[[#This Row],[DOP]]/$T$3)</f>
      </c>
      <c r="K54" s="53"/>
    </row>
    <row r="55" s="1" customFormat="1">
      <c r="B55" s="50"/>
      <c r="C55" s="45"/>
      <c r="D55" s="52"/>
      <c r="E55" s="45"/>
      <c r="F55" s="52"/>
      <c r="G55" s="47"/>
      <c r="H55" s="46"/>
      <c r="I55" s="48">
        <f>IF(Tx_2026_08[[#This Row],[Monto]]="","",IF(Tx_2026_08[[#This Row],[Moneda]]="USD",Tx_2026_08[[#This Row],[Monto]]*$T$3,Tx_2026_08[[#This Row],[Monto]]))</f>
      </c>
      <c r="J55" s="49">
        <f>IF(Tx_2026_08[[#This Row],[DOP]]="","",Tx_2026_08[[#This Row],[DOP]]/$T$3)</f>
      </c>
      <c r="K55" s="53"/>
    </row>
    <row r="56" s="1" customFormat="1">
      <c r="B56" s="50"/>
      <c r="C56" s="45"/>
      <c r="D56" s="52"/>
      <c r="E56" s="45"/>
      <c r="F56" s="52"/>
      <c r="G56" s="47"/>
      <c r="H56" s="46"/>
      <c r="I56" s="48">
        <f>IF(Tx_2026_08[[#This Row],[Monto]]="","",IF(Tx_2026_08[[#This Row],[Moneda]]="USD",Tx_2026_08[[#This Row],[Monto]]*$T$3,Tx_2026_08[[#This Row],[Monto]]))</f>
      </c>
      <c r="J56" s="49">
        <f>IF(Tx_2026_08[[#This Row],[DOP]]="","",Tx_2026_08[[#This Row],[DOP]]/$T$3)</f>
      </c>
      <c r="K56" s="53"/>
    </row>
    <row r="57" s="1" customFormat="1">
      <c r="B57" s="50"/>
      <c r="C57" s="45"/>
      <c r="D57" s="52"/>
      <c r="E57" s="45"/>
      <c r="F57" s="52"/>
      <c r="G57" s="47"/>
      <c r="H57" s="46"/>
      <c r="I57" s="48">
        <f>IF(Tx_2026_08[[#This Row],[Monto]]="","",IF(Tx_2026_08[[#This Row],[Moneda]]="USD",Tx_2026_08[[#This Row],[Monto]]*$T$3,Tx_2026_08[[#This Row],[Monto]]))</f>
      </c>
      <c r="J57" s="49">
        <f>IF(Tx_2026_08[[#This Row],[DOP]]="","",Tx_2026_08[[#This Row],[DOP]]/$T$3)</f>
      </c>
      <c r="K57" s="53"/>
    </row>
    <row r="58" s="1" customFormat="1">
      <c r="B58" s="50"/>
      <c r="C58" s="45"/>
      <c r="D58" s="52"/>
      <c r="E58" s="45"/>
      <c r="F58" s="52"/>
      <c r="G58" s="47"/>
      <c r="H58" s="46"/>
      <c r="I58" s="48">
        <f>IF(Tx_2026_08[[#This Row],[Monto]]="","",IF(Tx_2026_08[[#This Row],[Moneda]]="USD",Tx_2026_08[[#This Row],[Monto]]*$T$3,Tx_2026_08[[#This Row],[Monto]]))</f>
      </c>
      <c r="J58" s="49">
        <f>IF(Tx_2026_08[[#This Row],[DOP]]="","",Tx_2026_08[[#This Row],[DOP]]/$T$3)</f>
      </c>
      <c r="K58" s="53"/>
    </row>
    <row r="59" s="1" customFormat="1">
      <c r="B59" s="50"/>
      <c r="C59" s="45"/>
      <c r="D59" s="52"/>
      <c r="E59" s="45"/>
      <c r="F59" s="52"/>
      <c r="G59" s="47"/>
      <c r="H59" s="46"/>
      <c r="I59" s="48">
        <f>IF(Tx_2026_08[[#This Row],[Monto]]="","",IF(Tx_2026_08[[#This Row],[Moneda]]="USD",Tx_2026_08[[#This Row],[Monto]]*$T$3,Tx_2026_08[[#This Row],[Monto]]))</f>
      </c>
      <c r="J59" s="49">
        <f>IF(Tx_2026_08[[#This Row],[DOP]]="","",Tx_2026_08[[#This Row],[DOP]]/$T$3)</f>
      </c>
      <c r="K59" s="53"/>
    </row>
    <row r="60" s="1" customFormat="1">
      <c r="B60" s="50"/>
      <c r="C60" s="45"/>
      <c r="D60" s="52"/>
      <c r="E60" s="45"/>
      <c r="F60" s="52"/>
      <c r="G60" s="47"/>
      <c r="H60" s="46"/>
      <c r="I60" s="48">
        <f>IF(Tx_2026_08[[#This Row],[Monto]]="","",IF(Tx_2026_08[[#This Row],[Moneda]]="USD",Tx_2026_08[[#This Row],[Monto]]*$T$3,Tx_2026_08[[#This Row],[Monto]]))</f>
      </c>
      <c r="J60" s="49">
        <f>IF(Tx_2026_08[[#This Row],[DOP]]="","",Tx_2026_08[[#This Row],[DOP]]/$T$3)</f>
      </c>
      <c r="K60" s="53"/>
    </row>
  </sheetData>
  <mergeCells count="38">
    <mergeCell ref="N1:Q1"/>
    <mergeCell ref="B5:D5"/>
    <mergeCell ref="B6:D6"/>
    <mergeCell ref="C11:D11"/>
    <mergeCell ref="G6:H6"/>
    <mergeCell ref="G8:H8"/>
    <mergeCell ref="G9:H9"/>
    <mergeCell ref="G10:H10"/>
    <mergeCell ref="O6:Q6"/>
    <mergeCell ref="O8:Q8"/>
    <mergeCell ref="O9:Q9"/>
    <mergeCell ref="O10:Q10"/>
    <mergeCell ref="O11:Q11"/>
    <mergeCell ref="H14:K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O28:Q28"/>
    <mergeCell ref="H37:K37"/>
  </mergeCells>
  <conditionalFormatting sqref="C11">
    <cfRule type="cellIs" dxfId="0" priority="1" operator="lessThan">
      <formula>0</formula>
    </cfRule>
  </conditionalFormatting>
  <conditionalFormatting sqref="O9:O10">
    <cfRule type="cellIs" dxfId="0" priority="2" operator="lessThan">
      <formula>0</formula>
    </cfRule>
  </conditionalFormatting>
  <conditionalFormatting sqref="B16:B30">
    <cfRule type="cellIs" dxfId="1" priority="3" operator="equal">
      <formula>"Sí"</formula>
    </cfRule>
    <cfRule type="cellIs" dxfId="2" priority="4" operator="equal">
      <formula>"No"</formula>
    </cfRule>
  </conditionalFormatting>
  <conditionalFormatting sqref="O15:P15">
    <cfRule type="dataBar" priority="5">
      <dataBar showValue="0">
        <cfvo type="num" val="0"/>
        <cfvo type="formula" val="MAX($Q$15:$Q$25)"/>
        <color rgb="FF2B3A33"/>
      </dataBar>
    </cfRule>
  </conditionalFormatting>
  <conditionalFormatting sqref="O16:P25">
    <cfRule type="dataBar" priority="6">
      <dataBar showValue="0">
        <cfvo type="num" val="0"/>
        <cfvo type="formula" val="MAX($Q$15:$Q$25)"/>
        <color rgb="FF2F7D52"/>
      </dataBar>
    </cfRule>
  </conditionalFormatting>
  <dataValidations count="6">
    <dataValidation type="list" allowBlank="1" showErrorMessage="1" sqref="B16:B30">
      <formula1>"Sí,No"</formula1>
    </dataValidation>
    <dataValidation type="list" allowBlank="1" showErrorMessage="1" sqref="F16:F30">
      <formula1>"DOP,USD"</formula1>
    </dataValidation>
    <dataValidation type="list" allowBlank="1" showErrorMessage="1" sqref="N30:N34">
      <formula1>"Remitly,PayPal"</formula1>
    </dataValidation>
    <dataValidation type="list" allowBlank="1" showErrorMessage="1" sqref="E39:E3000">
      <formula1>Config!$E$4:$E$13</formula1>
    </dataValidation>
    <dataValidation type="list" allowBlank="1" showErrorMessage="1" sqref="F39:F3000">
      <formula1>Config!$F$4:$F$6</formula1>
    </dataValidation>
    <dataValidation type="list" allowBlank="1" showErrorMessage="1" sqref="H39:H3000">
      <formula1>"DOP,USD"</formula1>
    </dataValidation>
  </dataValidations>
  <pageMargins left="0.5" right="0.5" top="0.5" bottom="0.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7D52"/>
  </sheetPr>
  <sheetViews>
    <sheetView workbookViewId="0" showGridLines="0" zoomScale="100"/>
  </sheetViews>
  <sheetFormatPr defaultRowHeight="20" customHeight="1"/>
  <cols>
    <col min="1" max="1" width="2" style="1" customWidth="1"/>
    <col min="2" max="2" width="16" style="1" customWidth="1"/>
    <col min="3" max="3" width="22" style="1" customWidth="1"/>
    <col min="4" max="4" width="16" style="1" customWidth="1"/>
    <col min="5" max="5" width="15" style="1" customWidth="1"/>
    <col min="6" max="6" width="14" style="1" customWidth="1"/>
    <col min="7" max="7" width="12" style="1" customWidth="1"/>
    <col min="8" max="8" width="8" style="1" customWidth="1"/>
    <col min="9" max="9" width="13" style="1" customWidth="1"/>
    <col min="10" max="10" width="12" style="1" customWidth="1"/>
    <col min="11" max="11" width="18" style="1" customWidth="1"/>
    <col min="12" max="12" width="3" style="1" customWidth="1"/>
    <col min="13" max="13" width="11" style="1" customWidth="1"/>
    <col min="14" max="14" width="10" style="1" customWidth="1"/>
    <col min="15" max="15" width="10" style="1" customWidth="1"/>
    <col min="16" max="16" width="8" style="1" customWidth="1"/>
    <col min="17" max="17" width="12" style="1" customWidth="1"/>
    <col min="18" max="18" width="2" style="1" customWidth="1"/>
    <col min="19" max="19" width="2" style="1" customWidth="1"/>
    <col min="20" max="20" width="14" style="1" customWidth="1" hidden="1"/>
    <col min="21" max="60" width="9" style="1"/>
  </cols>
  <sheetData>
    <row r="1" s="1" customFormat="1" ht="26" customHeight="1">
      <c r="A1" s="2"/>
      <c r="B1" s="3" t="s">
        <v>0</v>
      </c>
      <c r="C1" s="2"/>
      <c r="D1" s="4" t="s">
        <v>85</v>
      </c>
      <c r="E1" s="2"/>
      <c r="F1" s="2"/>
      <c r="G1" s="2"/>
      <c r="H1" s="2"/>
      <c r="I1" s="2"/>
      <c r="J1" s="2"/>
      <c r="K1" s="2"/>
      <c r="L1" s="2"/>
      <c r="M1" s="5" t="s">
        <v>2</v>
      </c>
      <c r="N1" s="6">
        <f>"1 USD = "&amp;FIXED($T$3,2)&amp;" DOP"</f>
      </c>
      <c r="O1" s="2"/>
      <c r="P1" s="2"/>
      <c r="Q1" s="2"/>
      <c r="R1" s="2"/>
    </row>
    <row r="2" s="1" customFormat="1" ht="16" customHeight="1">
      <c r="B2" s="7" t="s">
        <v>3</v>
      </c>
      <c r="T2" s="8" t="s">
        <v>4</v>
      </c>
    </row>
    <row r="3" s="1" customFormat="1" ht="6" customHeight="1">
      <c r="T3" s="0">
        <f>IFERROR(SUMPRODUCT(Env_2026_09[USD],Env_2026_09[Tasa])/SUM(Env_2026_09[USD]),Config!$C$4)</f>
      </c>
    </row>
    <row r="4" s="1" customFormat="1" ht="18" customHeight="1">
      <c r="B4" s="9" t="s">
        <v>5</v>
      </c>
      <c r="C4" s="10"/>
      <c r="D4" s="11"/>
      <c r="E4" s="12"/>
      <c r="F4" s="10"/>
      <c r="G4" s="13" t="s">
        <v>6</v>
      </c>
      <c r="H4" s="10"/>
      <c r="I4" s="11"/>
      <c r="J4" s="9">
        <f>UPPER($D$1)</f>
      </c>
      <c r="K4" s="10"/>
      <c r="L4" s="10"/>
      <c r="M4" s="10"/>
      <c r="N4" s="10"/>
      <c r="O4" s="10"/>
      <c r="P4" s="10"/>
      <c r="Q4" s="11"/>
      <c r="T4" s="0">
        <f>SUMIFS(Fijos_2026_09[DOP],Fijos_2026_09[Pagado],"Sí")</f>
      </c>
    </row>
    <row r="5" s="1" customFormat="1" ht="28" customHeight="1">
      <c r="B5" s="14">
        <f>C8*$T$3+C9</f>
      </c>
      <c r="C5" s="15"/>
      <c r="D5" s="16"/>
      <c r="E5" s="17"/>
      <c r="F5" s="15"/>
      <c r="G5" s="15"/>
      <c r="H5" s="15"/>
      <c r="I5" s="16"/>
      <c r="J5" s="18">
        <f>FIXED(100*$T$8/MAX(1,O6),1)&amp;"% del presupuesto usado"</f>
      </c>
      <c r="K5" s="15"/>
      <c r="L5" s="15"/>
      <c r="M5" s="15"/>
      <c r="N5" s="15"/>
      <c r="O5" s="15"/>
      <c r="P5" s="15"/>
      <c r="Q5" s="16"/>
      <c r="T5" s="0">
        <f>SUM(Tx_2026_09[DOP])</f>
      </c>
    </row>
    <row r="6" s="1" customFormat="1" ht="18" customHeight="1">
      <c r="B6" s="19">
        <f>C8+C9/$T$3</f>
      </c>
      <c r="C6" s="15"/>
      <c r="D6" s="16"/>
      <c r="E6" s="17"/>
      <c r="F6" s="15"/>
      <c r="G6" s="15" t="s">
        <v>7</v>
      </c>
      <c r="H6" s="15"/>
      <c r="I6" s="20">
        <f>$T$4</f>
      </c>
      <c r="J6" s="21" t="s">
        <v>8</v>
      </c>
      <c r="K6" s="22"/>
      <c r="L6" s="22"/>
      <c r="M6" s="22"/>
      <c r="N6" s="22"/>
      <c r="O6" s="23">
        <v>70000</v>
      </c>
      <c r="P6" s="22"/>
      <c r="Q6" s="24"/>
      <c r="T6" s="0">
        <f>SUMIFS(Fijos_2026_09[DOP],Fijos_2026_09[Pagado],"No")</f>
      </c>
    </row>
    <row r="7" s="1" customFormat="1" ht="10" customHeight="1">
      <c r="B7" s="17"/>
      <c r="C7" s="15"/>
      <c r="D7" s="16"/>
      <c r="E7" s="17"/>
      <c r="F7" s="15"/>
      <c r="G7" s="15"/>
      <c r="H7" s="15"/>
      <c r="I7" s="16"/>
      <c r="J7" s="17"/>
      <c r="K7" s="15"/>
      <c r="L7" s="15"/>
      <c r="M7" s="15"/>
      <c r="N7" s="15"/>
      <c r="O7" s="15"/>
      <c r="P7" s="15"/>
      <c r="Q7" s="16"/>
      <c r="T7" s="0">
        <f>MAX(0,O6-T4-T5-T6)</f>
      </c>
    </row>
    <row r="8" s="1" customFormat="1" ht="20" customHeight="1">
      <c r="B8" s="25" t="s">
        <v>9</v>
      </c>
      <c r="C8" s="26">
        <v>4100</v>
      </c>
      <c r="D8" s="27" t="s">
        <v>10</v>
      </c>
      <c r="E8" s="17"/>
      <c r="F8" s="15"/>
      <c r="G8" s="15" t="s">
        <v>11</v>
      </c>
      <c r="H8" s="15"/>
      <c r="I8" s="20">
        <f>$T$5</f>
      </c>
      <c r="J8" s="28" t="s">
        <v>12</v>
      </c>
      <c r="K8" s="22"/>
      <c r="L8" s="22"/>
      <c r="M8" s="22"/>
      <c r="N8" s="22"/>
      <c r="O8" s="29">
        <f>$T$8</f>
      </c>
      <c r="P8" s="22"/>
      <c r="Q8" s="24"/>
      <c r="T8" s="0">
        <f>T4+T5</f>
      </c>
    </row>
    <row r="9" s="1" customFormat="1" ht="20" customHeight="1">
      <c r="B9" s="25" t="s">
        <v>13</v>
      </c>
      <c r="C9" s="26">
        <v>81500</v>
      </c>
      <c r="D9" s="27" t="s">
        <v>14</v>
      </c>
      <c r="E9" s="17"/>
      <c r="F9" s="15"/>
      <c r="G9" s="15" t="s">
        <v>15</v>
      </c>
      <c r="H9" s="15"/>
      <c r="I9" s="20">
        <f>$T$6</f>
      </c>
      <c r="J9" s="28" t="s">
        <v>16</v>
      </c>
      <c r="K9" s="22"/>
      <c r="L9" s="22"/>
      <c r="M9" s="22"/>
      <c r="N9" s="22"/>
      <c r="O9" s="30">
        <f>O6-O8</f>
      </c>
      <c r="P9" s="22"/>
      <c r="Q9" s="24"/>
      <c r="T9" s="0">
        <f>FIXED(T8,0)</f>
      </c>
    </row>
    <row r="10" s="1" customFormat="1" ht="20" customHeight="1">
      <c r="B10" s="25" t="s">
        <v>17</v>
      </c>
      <c r="C10" s="26">
        <v>5800</v>
      </c>
      <c r="D10" s="27" t="s">
        <v>10</v>
      </c>
      <c r="E10" s="17"/>
      <c r="F10" s="15"/>
      <c r="G10" s="15" t="s">
        <v>18</v>
      </c>
      <c r="H10" s="15"/>
      <c r="I10" s="20">
        <f>$T$7</f>
      </c>
      <c r="J10" s="25" t="s">
        <v>19</v>
      </c>
      <c r="K10" s="22"/>
      <c r="L10" s="22"/>
      <c r="M10" s="22"/>
      <c r="N10" s="22"/>
      <c r="O10" s="31">
        <f>O9-$T$6</f>
      </c>
      <c r="P10" s="22"/>
      <c r="Q10" s="24"/>
      <c r="T10" s="0">
        <f>"de "&amp;FIXED(O6,0)&amp;" DOP"</f>
      </c>
    </row>
    <row r="11" s="1" customFormat="1" ht="20" customHeight="1">
      <c r="B11" s="32" t="s">
        <v>20</v>
      </c>
      <c r="C11" s="33">
        <f>C10*$T$3-$T$8</f>
      </c>
      <c r="D11" s="16"/>
      <c r="E11" s="17"/>
      <c r="F11" s="15"/>
      <c r="G11" s="15"/>
      <c r="H11" s="15"/>
      <c r="I11" s="16"/>
      <c r="J11" s="25" t="s">
        <v>21</v>
      </c>
      <c r="K11" s="22"/>
      <c r="L11" s="22"/>
      <c r="M11" s="22"/>
      <c r="N11" s="22"/>
      <c r="O11" s="31">
        <f>$T$8/$T$3</f>
      </c>
      <c r="P11" s="22"/>
      <c r="Q11" s="24"/>
    </row>
    <row r="12" s="1" customFormat="1" ht="10" customHeight="1">
      <c r="B12" s="34"/>
      <c r="C12" s="35"/>
      <c r="D12" s="36"/>
      <c r="E12" s="34"/>
      <c r="F12" s="35"/>
      <c r="G12" s="35"/>
      <c r="H12" s="35"/>
      <c r="I12" s="36"/>
      <c r="J12" s="34"/>
      <c r="K12" s="35"/>
      <c r="L12" s="35"/>
      <c r="M12" s="35"/>
      <c r="N12" s="35"/>
      <c r="O12" s="35"/>
      <c r="P12" s="35"/>
      <c r="Q12" s="36"/>
    </row>
    <row r="13" s="1" customFormat="1" ht="10" customHeight="1"/>
    <row r="14" s="1" customFormat="1" ht="26" customHeight="1">
      <c r="B14" s="37" t="s">
        <v>22</v>
      </c>
      <c r="C14" s="10"/>
      <c r="D14" s="10"/>
      <c r="E14" s="10"/>
      <c r="F14" s="10"/>
      <c r="G14" s="10"/>
      <c r="H14" s="38">
        <f>COUNTIFS(Fijos_2026_09[Pagado],"Sí")&amp;" de "&amp;COUNTA(Fijos_2026_09[Concepto])&amp;" pagados · total "&amp;FIXED(SUM(Fijos_2026_09[DOP]),2)&amp;" DOP"</f>
      </c>
      <c r="I14" s="10"/>
      <c r="J14" s="10"/>
      <c r="K14" s="11"/>
      <c r="M14" s="37" t="s">
        <v>23</v>
      </c>
      <c r="N14" s="10"/>
      <c r="O14" s="10"/>
      <c r="P14" s="10"/>
      <c r="Q14" s="39" t="s">
        <v>14</v>
      </c>
    </row>
    <row r="15" s="1" customFormat="1">
      <c r="B15" s="40" t="s">
        <v>24</v>
      </c>
      <c r="C15" s="41" t="s">
        <v>25</v>
      </c>
      <c r="D15" s="41" t="s">
        <v>26</v>
      </c>
      <c r="E15" s="42" t="s">
        <v>27</v>
      </c>
      <c r="F15" s="41" t="s">
        <v>28</v>
      </c>
      <c r="G15" s="42" t="s">
        <v>14</v>
      </c>
      <c r="H15" s="42" t="s">
        <v>10</v>
      </c>
      <c r="I15" s="15"/>
      <c r="J15" s="15"/>
      <c r="K15" s="16"/>
      <c r="M15" s="17" t="s">
        <v>29</v>
      </c>
      <c r="N15" s="15"/>
      <c r="O15" s="43">
        <f>Q15</f>
      </c>
      <c r="P15" s="15"/>
      <c r="Q15" s="20">
        <f>$T$4</f>
      </c>
    </row>
    <row r="16" s="1" customFormat="1">
      <c r="B16" s="44" t="s">
        <v>30</v>
      </c>
      <c r="C16" s="45" t="s">
        <v>31</v>
      </c>
      <c r="D16" s="46"/>
      <c r="E16" s="47">
        <v>1412.8</v>
      </c>
      <c r="F16" s="46" t="s">
        <v>14</v>
      </c>
      <c r="G16" s="48">
        <f>IF(Fijos_2026_09[[#This Row],[Monto]]="","",IF(Fijos_2026_09[[#This Row],[Moneda]]="USD",Fijos_2026_09[[#This Row],[Monto]]*$T$3,Fijos_2026_09[[#This Row],[Monto]]))</f>
      </c>
      <c r="H16" s="49">
        <f>IF(Fijos_2026_09[[#This Row],[DOP]]="","",Fijos_2026_09[[#This Row],[DOP]]/$T$3)</f>
      </c>
      <c r="I16" s="15"/>
      <c r="J16" s="15"/>
      <c r="K16" s="16"/>
      <c r="M16" s="17" t="s">
        <v>32</v>
      </c>
      <c r="N16" s="15"/>
      <c r="O16" s="43">
        <f>Q16</f>
      </c>
      <c r="P16" s="15"/>
      <c r="Q16" s="20">
        <f>SUMIFS(Tx_2026_09[DOP],Tx_2026_09[Categoría],M16)</f>
      </c>
    </row>
    <row r="17" s="1" customFormat="1">
      <c r="B17" s="44" t="s">
        <v>30</v>
      </c>
      <c r="C17" s="45" t="s">
        <v>33</v>
      </c>
      <c r="D17" s="46"/>
      <c r="E17" s="47">
        <v>2699</v>
      </c>
      <c r="F17" s="46" t="s">
        <v>14</v>
      </c>
      <c r="G17" s="48">
        <f>IF(Fijos_2026_09[[#This Row],[Monto]]="","",IF(Fijos_2026_09[[#This Row],[Moneda]]="USD",Fijos_2026_09[[#This Row],[Monto]]*$T$3,Fijos_2026_09[[#This Row],[Monto]]))</f>
      </c>
      <c r="H17" s="49">
        <f>IF(Fijos_2026_09[[#This Row],[DOP]]="","",Fijos_2026_09[[#This Row],[DOP]]/$T$3)</f>
      </c>
      <c r="I17" s="15"/>
      <c r="J17" s="15"/>
      <c r="K17" s="16"/>
      <c r="M17" s="17" t="s">
        <v>34</v>
      </c>
      <c r="N17" s="15"/>
      <c r="O17" s="43">
        <f>Q17</f>
      </c>
      <c r="P17" s="15"/>
      <c r="Q17" s="20">
        <f>SUMIFS(Tx_2026_09[DOP],Tx_2026_09[Categoría],M17)</f>
      </c>
    </row>
    <row r="18" s="1" customFormat="1">
      <c r="B18" s="44" t="s">
        <v>30</v>
      </c>
      <c r="C18" s="45" t="s">
        <v>35</v>
      </c>
      <c r="D18" s="46"/>
      <c r="E18" s="47">
        <v>5640</v>
      </c>
      <c r="F18" s="46" t="s">
        <v>14</v>
      </c>
      <c r="G18" s="48">
        <f>IF(Fijos_2026_09[[#This Row],[Monto]]="","",IF(Fijos_2026_09[[#This Row],[Moneda]]="USD",Fijos_2026_09[[#This Row],[Monto]]*$T$3,Fijos_2026_09[[#This Row],[Monto]]))</f>
      </c>
      <c r="H18" s="49">
        <f>IF(Fijos_2026_09[[#This Row],[DOP]]="","",Fijos_2026_09[[#This Row],[DOP]]/$T$3)</f>
      </c>
      <c r="I18" s="15"/>
      <c r="J18" s="15"/>
      <c r="K18" s="16"/>
      <c r="M18" s="17" t="s">
        <v>36</v>
      </c>
      <c r="N18" s="15"/>
      <c r="O18" s="43">
        <f>Q18</f>
      </c>
      <c r="P18" s="15"/>
      <c r="Q18" s="20">
        <f>SUMIFS(Tx_2026_09[DOP],Tx_2026_09[Categoría],M18)</f>
      </c>
    </row>
    <row r="19" s="1" customFormat="1">
      <c r="B19" s="44" t="s">
        <v>30</v>
      </c>
      <c r="C19" s="45" t="s">
        <v>37</v>
      </c>
      <c r="D19" s="46"/>
      <c r="E19" s="47">
        <v>15000</v>
      </c>
      <c r="F19" s="46" t="s">
        <v>14</v>
      </c>
      <c r="G19" s="48">
        <f>IF(Fijos_2026_09[[#This Row],[Monto]]="","",IF(Fijos_2026_09[[#This Row],[Moneda]]="USD",Fijos_2026_09[[#This Row],[Monto]]*$T$3,Fijos_2026_09[[#This Row],[Monto]]))</f>
      </c>
      <c r="H19" s="49">
        <f>IF(Fijos_2026_09[[#This Row],[DOP]]="","",Fijos_2026_09[[#This Row],[DOP]]/$T$3)</f>
      </c>
      <c r="I19" s="15"/>
      <c r="J19" s="15"/>
      <c r="K19" s="16"/>
      <c r="M19" s="17" t="s">
        <v>38</v>
      </c>
      <c r="N19" s="15"/>
      <c r="O19" s="43">
        <f>Q19</f>
      </c>
      <c r="P19" s="15"/>
      <c r="Q19" s="20">
        <f>SUMIFS(Tx_2026_09[DOP],Tx_2026_09[Categoría],M19)</f>
      </c>
    </row>
    <row r="20" s="1" customFormat="1">
      <c r="B20" s="44" t="s">
        <v>30</v>
      </c>
      <c r="C20" s="45" t="s">
        <v>39</v>
      </c>
      <c r="D20" s="46">
        <v>5</v>
      </c>
      <c r="E20" s="47">
        <v>106</v>
      </c>
      <c r="F20" s="46" t="s">
        <v>10</v>
      </c>
      <c r="G20" s="48">
        <f>IF(Fijos_2026_09[[#This Row],[Monto]]="","",IF(Fijos_2026_09[[#This Row],[Moneda]]="USD",Fijos_2026_09[[#This Row],[Monto]]*$T$3,Fijos_2026_09[[#This Row],[Monto]]))</f>
      </c>
      <c r="H20" s="49">
        <f>IF(Fijos_2026_09[[#This Row],[DOP]]="","",Fijos_2026_09[[#This Row],[DOP]]/$T$3)</f>
      </c>
      <c r="I20" s="15"/>
      <c r="J20" s="15"/>
      <c r="K20" s="16"/>
      <c r="M20" s="17" t="s">
        <v>40</v>
      </c>
      <c r="N20" s="15"/>
      <c r="O20" s="43">
        <f>Q20</f>
      </c>
      <c r="P20" s="15"/>
      <c r="Q20" s="20">
        <f>SUMIFS(Tx_2026_09[DOP],Tx_2026_09[Categoría],M20)</f>
      </c>
    </row>
    <row r="21" s="1" customFormat="1">
      <c r="B21" s="44" t="s">
        <v>30</v>
      </c>
      <c r="C21" s="45" t="s">
        <v>41</v>
      </c>
      <c r="D21" s="46">
        <v>16</v>
      </c>
      <c r="E21" s="47">
        <v>121.56</v>
      </c>
      <c r="F21" s="46" t="s">
        <v>14</v>
      </c>
      <c r="G21" s="48">
        <f>IF(Fijos_2026_09[[#This Row],[Monto]]="","",IF(Fijos_2026_09[[#This Row],[Moneda]]="USD",Fijos_2026_09[[#This Row],[Monto]]*$T$3,Fijos_2026_09[[#This Row],[Monto]]))</f>
      </c>
      <c r="H21" s="49">
        <f>IF(Fijos_2026_09[[#This Row],[DOP]]="","",Fijos_2026_09[[#This Row],[DOP]]/$T$3)</f>
      </c>
      <c r="I21" s="15"/>
      <c r="J21" s="15"/>
      <c r="K21" s="16"/>
      <c r="M21" s="17" t="s">
        <v>42</v>
      </c>
      <c r="N21" s="15"/>
      <c r="O21" s="43">
        <f>Q21</f>
      </c>
      <c r="P21" s="15"/>
      <c r="Q21" s="20">
        <f>SUMIFS(Tx_2026_09[DOP],Tx_2026_09[Categoría],M21)</f>
      </c>
    </row>
    <row r="22" s="1" customFormat="1">
      <c r="B22" s="44" t="s">
        <v>30</v>
      </c>
      <c r="C22" s="45" t="s">
        <v>43</v>
      </c>
      <c r="D22" s="46">
        <v>17</v>
      </c>
      <c r="E22" s="47">
        <v>604</v>
      </c>
      <c r="F22" s="46" t="s">
        <v>14</v>
      </c>
      <c r="G22" s="48">
        <f>IF(Fijos_2026_09[[#This Row],[Monto]]="","",IF(Fijos_2026_09[[#This Row],[Moneda]]="USD",Fijos_2026_09[[#This Row],[Monto]]*$T$3,Fijos_2026_09[[#This Row],[Monto]]))</f>
      </c>
      <c r="H22" s="49">
        <f>IF(Fijos_2026_09[[#This Row],[DOP]]="","",Fijos_2026_09[[#This Row],[DOP]]/$T$3)</f>
      </c>
      <c r="I22" s="15"/>
      <c r="J22" s="15"/>
      <c r="K22" s="16"/>
      <c r="M22" s="17" t="s">
        <v>44</v>
      </c>
      <c r="N22" s="15"/>
      <c r="O22" s="43">
        <f>Q22</f>
      </c>
      <c r="P22" s="15"/>
      <c r="Q22" s="20">
        <f>SUMIFS(Tx_2026_09[DOP],Tx_2026_09[Categoría],M22)</f>
      </c>
    </row>
    <row r="23" s="1" customFormat="1">
      <c r="B23" s="44" t="s">
        <v>30</v>
      </c>
      <c r="C23" s="45" t="s">
        <v>45</v>
      </c>
      <c r="D23" s="46"/>
      <c r="E23" s="47">
        <v>308</v>
      </c>
      <c r="F23" s="46" t="s">
        <v>14</v>
      </c>
      <c r="G23" s="48">
        <f>IF(Fijos_2026_09[[#This Row],[Monto]]="","",IF(Fijos_2026_09[[#This Row],[Moneda]]="USD",Fijos_2026_09[[#This Row],[Monto]]*$T$3,Fijos_2026_09[[#This Row],[Monto]]))</f>
      </c>
      <c r="H23" s="49">
        <f>IF(Fijos_2026_09[[#This Row],[DOP]]="","",Fijos_2026_09[[#This Row],[DOP]]/$T$3)</f>
      </c>
      <c r="I23" s="15"/>
      <c r="J23" s="15"/>
      <c r="K23" s="16"/>
      <c r="M23" s="17" t="s">
        <v>46</v>
      </c>
      <c r="N23" s="15"/>
      <c r="O23" s="43">
        <f>Q23</f>
      </c>
      <c r="P23" s="15"/>
      <c r="Q23" s="20">
        <f>SUMIFS(Tx_2026_09[DOP],Tx_2026_09[Categoría],M23)</f>
      </c>
    </row>
    <row r="24" s="1" customFormat="1">
      <c r="B24" s="44" t="s">
        <v>30</v>
      </c>
      <c r="C24" s="45" t="s">
        <v>47</v>
      </c>
      <c r="D24" s="46">
        <v>17</v>
      </c>
      <c r="E24" s="47">
        <v>1550</v>
      </c>
      <c r="F24" s="46" t="s">
        <v>14</v>
      </c>
      <c r="G24" s="48">
        <f>IF(Fijos_2026_09[[#This Row],[Monto]]="","",IF(Fijos_2026_09[[#This Row],[Moneda]]="USD",Fijos_2026_09[[#This Row],[Monto]]*$T$3,Fijos_2026_09[[#This Row],[Monto]]))</f>
      </c>
      <c r="H24" s="49">
        <f>IF(Fijos_2026_09[[#This Row],[DOP]]="","",Fijos_2026_09[[#This Row],[DOP]]/$T$3)</f>
      </c>
      <c r="I24" s="15"/>
      <c r="J24" s="15"/>
      <c r="K24" s="16"/>
      <c r="M24" s="17" t="s">
        <v>48</v>
      </c>
      <c r="N24" s="15"/>
      <c r="O24" s="43">
        <f>Q24</f>
      </c>
      <c r="P24" s="15"/>
      <c r="Q24" s="20">
        <f>SUMIFS(Tx_2026_09[DOP],Tx_2026_09[Categoría],M24)</f>
      </c>
    </row>
    <row r="25" s="1" customFormat="1">
      <c r="B25" s="44" t="s">
        <v>30</v>
      </c>
      <c r="C25" s="45" t="s">
        <v>49</v>
      </c>
      <c r="D25" s="46"/>
      <c r="E25" s="47">
        <v>1137.3</v>
      </c>
      <c r="F25" s="46" t="s">
        <v>14</v>
      </c>
      <c r="G25" s="48">
        <f>IF(Fijos_2026_09[[#This Row],[Monto]]="","",IF(Fijos_2026_09[[#This Row],[Moneda]]="USD",Fijos_2026_09[[#This Row],[Monto]]*$T$3,Fijos_2026_09[[#This Row],[Monto]]))</f>
      </c>
      <c r="H25" s="49">
        <f>IF(Fijos_2026_09[[#This Row],[DOP]]="","",Fijos_2026_09[[#This Row],[DOP]]/$T$3)</f>
      </c>
      <c r="I25" s="15"/>
      <c r="J25" s="15"/>
      <c r="K25" s="16"/>
      <c r="M25" s="17" t="s">
        <v>50</v>
      </c>
      <c r="N25" s="15"/>
      <c r="O25" s="43">
        <f>Q25</f>
      </c>
      <c r="P25" s="15"/>
      <c r="Q25" s="20">
        <f>SUMIFS(Tx_2026_09[DOP],Tx_2026_09[Categoría],M25)</f>
      </c>
    </row>
    <row r="26" s="1" customFormat="1">
      <c r="B26" s="44" t="s">
        <v>30</v>
      </c>
      <c r="C26" s="45" t="s">
        <v>51</v>
      </c>
      <c r="D26" s="46"/>
      <c r="E26" s="47">
        <v>7400</v>
      </c>
      <c r="F26" s="46" t="s">
        <v>14</v>
      </c>
      <c r="G26" s="48">
        <f>IF(Fijos_2026_09[[#This Row],[Monto]]="","",IF(Fijos_2026_09[[#This Row],[Moneda]]="USD",Fijos_2026_09[[#This Row],[Monto]]*$T$3,Fijos_2026_09[[#This Row],[Monto]]))</f>
      </c>
      <c r="H26" s="49">
        <f>IF(Fijos_2026_09[[#This Row],[DOP]]="","",Fijos_2026_09[[#This Row],[DOP]]/$T$3)</f>
      </c>
      <c r="I26" s="15"/>
      <c r="J26" s="15"/>
      <c r="K26" s="16"/>
      <c r="M26" s="34"/>
      <c r="N26" s="35"/>
      <c r="O26" s="35"/>
      <c r="P26" s="35"/>
      <c r="Q26" s="36"/>
    </row>
    <row r="27" s="1" customFormat="1">
      <c r="B27" s="44"/>
      <c r="C27" s="45"/>
      <c r="D27" s="46"/>
      <c r="E27" s="47"/>
      <c r="F27" s="46"/>
      <c r="G27" s="48">
        <f>IF(Fijos_2026_09[[#This Row],[Monto]]="","",IF(Fijos_2026_09[[#This Row],[Moneda]]="USD",Fijos_2026_09[[#This Row],[Monto]]*$T$3,Fijos_2026_09[[#This Row],[Monto]]))</f>
      </c>
      <c r="H27" s="49">
        <f>IF(Fijos_2026_09[[#This Row],[DOP]]="","",Fijos_2026_09[[#This Row],[DOP]]/$T$3)</f>
      </c>
      <c r="I27" s="15"/>
      <c r="J27" s="15"/>
      <c r="K27" s="16"/>
    </row>
    <row r="28" s="1" customFormat="1">
      <c r="B28" s="44"/>
      <c r="C28" s="45"/>
      <c r="D28" s="46"/>
      <c r="E28" s="47"/>
      <c r="F28" s="46"/>
      <c r="G28" s="48">
        <f>IF(Fijos_2026_09[[#This Row],[Monto]]="","",IF(Fijos_2026_09[[#This Row],[Moneda]]="USD",Fijos_2026_09[[#This Row],[Monto]]*$T$3,Fijos_2026_09[[#This Row],[Monto]]))</f>
      </c>
      <c r="H28" s="49">
        <f>IF(Fijos_2026_09[[#This Row],[DOP]]="","",Fijos_2026_09[[#This Row],[DOP]]/$T$3)</f>
      </c>
      <c r="I28" s="15"/>
      <c r="J28" s="15"/>
      <c r="K28" s="16"/>
      <c r="M28" s="37" t="s">
        <v>52</v>
      </c>
      <c r="N28" s="10"/>
      <c r="O28" s="38">
        <f>"Promedio "&amp;FIXED($T$3,2)</f>
      </c>
      <c r="P28" s="10"/>
      <c r="Q28" s="11"/>
    </row>
    <row r="29" s="1" customFormat="1">
      <c r="B29" s="44"/>
      <c r="C29" s="45"/>
      <c r="D29" s="46"/>
      <c r="E29" s="47"/>
      <c r="F29" s="46"/>
      <c r="G29" s="48">
        <f>IF(Fijos_2026_09[[#This Row],[Monto]]="","",IF(Fijos_2026_09[[#This Row],[Moneda]]="USD",Fijos_2026_09[[#This Row],[Monto]]*$T$3,Fijos_2026_09[[#This Row],[Monto]]))</f>
      </c>
      <c r="H29" s="49">
        <f>IF(Fijos_2026_09[[#This Row],[DOP]]="","",Fijos_2026_09[[#This Row],[DOP]]/$T$3)</f>
      </c>
      <c r="I29" s="15"/>
      <c r="J29" s="15"/>
      <c r="K29" s="16"/>
      <c r="M29" s="40" t="s">
        <v>53</v>
      </c>
      <c r="N29" s="41" t="s">
        <v>54</v>
      </c>
      <c r="O29" s="42" t="s">
        <v>10</v>
      </c>
      <c r="P29" s="42" t="s">
        <v>55</v>
      </c>
      <c r="Q29" s="42" t="s">
        <v>14</v>
      </c>
    </row>
    <row r="30" s="1" customFormat="1">
      <c r="B30" s="44"/>
      <c r="C30" s="45"/>
      <c r="D30" s="46"/>
      <c r="E30" s="47"/>
      <c r="F30" s="46"/>
      <c r="G30" s="48">
        <f>IF(Fijos_2026_09[[#This Row],[Monto]]="","",IF(Fijos_2026_09[[#This Row],[Moneda]]="USD",Fijos_2026_09[[#This Row],[Monto]]*$T$3,Fijos_2026_09[[#This Row],[Monto]]))</f>
      </c>
      <c r="H30" s="49">
        <f>IF(Fijos_2026_09[[#This Row],[DOP]]="","",Fijos_2026_09[[#This Row],[DOP]]/$T$3)</f>
      </c>
      <c r="I30" s="15"/>
      <c r="J30" s="15"/>
      <c r="K30" s="16"/>
      <c r="M30" s="50">
        <v>46267</v>
      </c>
      <c r="N30" s="45" t="s">
        <v>56</v>
      </c>
      <c r="O30" s="47">
        <v>1500</v>
      </c>
      <c r="P30" s="51">
        <v>58.55</v>
      </c>
      <c r="Q30" s="47">
        <f>IF(Env_2026_09[[#This Row],[USD]]="","",Env_2026_09[[#This Row],[USD]]*Env_2026_09[[#This Row],[Tasa]])</f>
      </c>
    </row>
    <row r="31" s="1" customFormat="1" ht="6" customHeight="1">
      <c r="B31" s="34"/>
      <c r="C31" s="35"/>
      <c r="D31" s="35"/>
      <c r="E31" s="35"/>
      <c r="F31" s="35"/>
      <c r="G31" s="35"/>
      <c r="H31" s="35"/>
      <c r="I31" s="35"/>
      <c r="J31" s="35"/>
      <c r="K31" s="36"/>
      <c r="M31" s="50">
        <v>46282</v>
      </c>
      <c r="N31" s="45" t="s">
        <v>56</v>
      </c>
      <c r="O31" s="47">
        <v>800</v>
      </c>
      <c r="P31" s="51">
        <v>58.62</v>
      </c>
      <c r="Q31" s="47">
        <f>IF(Env_2026_09[[#This Row],[USD]]="","",Env_2026_09[[#This Row],[USD]]*Env_2026_09[[#This Row],[Tasa]])</f>
      </c>
    </row>
    <row r="32" s="1" customFormat="1">
      <c r="M32" s="50"/>
      <c r="N32" s="45"/>
      <c r="O32" s="47"/>
      <c r="P32" s="51"/>
      <c r="Q32" s="47">
        <f>IF(Env_2026_09[[#This Row],[USD]]="","",Env_2026_09[[#This Row],[USD]]*Env_2026_09[[#This Row],[Tasa]])</f>
      </c>
    </row>
    <row r="33" s="1" customFormat="1">
      <c r="M33" s="50"/>
      <c r="N33" s="45"/>
      <c r="O33" s="47"/>
      <c r="P33" s="51"/>
      <c r="Q33" s="47">
        <f>IF(Env_2026_09[[#This Row],[USD]]="","",Env_2026_09[[#This Row],[USD]]*Env_2026_09[[#This Row],[Tasa]])</f>
      </c>
    </row>
    <row r="34" s="1" customFormat="1">
      <c r="M34" s="50"/>
      <c r="N34" s="45"/>
      <c r="O34" s="47"/>
      <c r="P34" s="51"/>
      <c r="Q34" s="47">
        <f>IF(Env_2026_09[[#This Row],[USD]]="","",Env_2026_09[[#This Row],[USD]]*Env_2026_09[[#This Row],[Tasa]])</f>
      </c>
    </row>
    <row r="35" s="1" customFormat="1" ht="6" customHeight="1">
      <c r="M35" s="34"/>
      <c r="N35" s="35"/>
      <c r="O35" s="35"/>
      <c r="P35" s="35"/>
      <c r="Q35" s="36"/>
    </row>
    <row r="37" s="1" customFormat="1" ht="26" customHeight="1">
      <c r="B37" s="37" t="s">
        <v>58</v>
      </c>
      <c r="C37" s="10"/>
      <c r="D37" s="10"/>
      <c r="E37" s="10"/>
      <c r="F37" s="10"/>
      <c r="G37" s="10"/>
      <c r="H37" s="38">
        <f>COUNT(Tx_2026_09[Monto])&amp;" transacciones · total "&amp;FIXED($T$5,2)&amp;" DOP"</f>
      </c>
      <c r="I37" s="10"/>
      <c r="J37" s="10"/>
      <c r="K37" s="11"/>
    </row>
    <row r="38" s="1" customFormat="1">
      <c r="B38" s="40" t="s">
        <v>53</v>
      </c>
      <c r="C38" s="41" t="s">
        <v>59</v>
      </c>
      <c r="D38" s="41" t="s">
        <v>60</v>
      </c>
      <c r="E38" s="41" t="s">
        <v>61</v>
      </c>
      <c r="F38" s="41" t="s">
        <v>62</v>
      </c>
      <c r="G38" s="42" t="s">
        <v>27</v>
      </c>
      <c r="H38" s="41" t="s">
        <v>28</v>
      </c>
      <c r="I38" s="42" t="s">
        <v>14</v>
      </c>
      <c r="J38" s="42" t="s">
        <v>10</v>
      </c>
      <c r="K38" s="41" t="s">
        <v>63</v>
      </c>
    </row>
    <row r="39" s="1" customFormat="1">
      <c r="B39" s="50">
        <v>46266</v>
      </c>
      <c r="C39" s="45" t="s">
        <v>64</v>
      </c>
      <c r="D39" s="52" t="s">
        <v>86</v>
      </c>
      <c r="E39" s="45" t="s">
        <v>34</v>
      </c>
      <c r="F39" s="52" t="s">
        <v>66</v>
      </c>
      <c r="G39" s="47">
        <v>4975</v>
      </c>
      <c r="H39" s="46" t="s">
        <v>14</v>
      </c>
      <c r="I39" s="48">
        <f>IF(Tx_2026_09[[#This Row],[Monto]]="","",IF(Tx_2026_09[[#This Row],[Moneda]]="USD",Tx_2026_09[[#This Row],[Monto]]*$T$3,Tx_2026_09[[#This Row],[Monto]]))</f>
      </c>
      <c r="J39" s="49">
        <f>IF(Tx_2026_09[[#This Row],[DOP]]="","",Tx_2026_09[[#This Row],[DOP]]/$T$3)</f>
      </c>
      <c r="K39" s="53"/>
    </row>
    <row r="40" s="1" customFormat="1">
      <c r="B40" s="50">
        <v>46268</v>
      </c>
      <c r="C40" s="45" t="s">
        <v>87</v>
      </c>
      <c r="D40" s="52" t="s">
        <v>88</v>
      </c>
      <c r="E40" s="45" t="s">
        <v>48</v>
      </c>
      <c r="F40" s="52" t="s">
        <v>66</v>
      </c>
      <c r="G40" s="47">
        <v>1850</v>
      </c>
      <c r="H40" s="46" t="s">
        <v>14</v>
      </c>
      <c r="I40" s="48">
        <f>IF(Tx_2026_09[[#This Row],[Monto]]="","",IF(Tx_2026_09[[#This Row],[Moneda]]="USD",Tx_2026_09[[#This Row],[Monto]]*$T$3,Tx_2026_09[[#This Row],[Monto]]))</f>
      </c>
      <c r="J40" s="49">
        <f>IF(Tx_2026_09[[#This Row],[DOP]]="","",Tx_2026_09[[#This Row],[DOP]]/$T$3)</f>
      </c>
      <c r="K40" s="53"/>
    </row>
    <row r="41" s="1" customFormat="1">
      <c r="B41" s="50">
        <v>46270</v>
      </c>
      <c r="C41" s="45" t="s">
        <v>67</v>
      </c>
      <c r="D41" s="52" t="s">
        <v>67</v>
      </c>
      <c r="E41" s="45" t="s">
        <v>36</v>
      </c>
      <c r="F41" s="52" t="s">
        <v>66</v>
      </c>
      <c r="G41" s="47">
        <v>360</v>
      </c>
      <c r="H41" s="46" t="s">
        <v>14</v>
      </c>
      <c r="I41" s="48">
        <f>IF(Tx_2026_09[[#This Row],[Monto]]="","",IF(Tx_2026_09[[#This Row],[Moneda]]="USD",Tx_2026_09[[#This Row],[Monto]]*$T$3,Tx_2026_09[[#This Row],[Monto]]))</f>
      </c>
      <c r="J41" s="49">
        <f>IF(Tx_2026_09[[#This Row],[DOP]]="","",Tx_2026_09[[#This Row],[DOP]]/$T$3)</f>
      </c>
      <c r="K41" s="53"/>
    </row>
    <row r="42" s="1" customFormat="1">
      <c r="B42" s="50">
        <v>46273</v>
      </c>
      <c r="C42" s="45" t="s">
        <v>68</v>
      </c>
      <c r="D42" s="52" t="s">
        <v>89</v>
      </c>
      <c r="E42" s="45" t="s">
        <v>32</v>
      </c>
      <c r="F42" s="52" t="s">
        <v>66</v>
      </c>
      <c r="G42" s="47">
        <v>1420</v>
      </c>
      <c r="H42" s="46" t="s">
        <v>14</v>
      </c>
      <c r="I42" s="48">
        <f>IF(Tx_2026_09[[#This Row],[Monto]]="","",IF(Tx_2026_09[[#This Row],[Moneda]]="USD",Tx_2026_09[[#This Row],[Monto]]*$T$3,Tx_2026_09[[#This Row],[Monto]]))</f>
      </c>
      <c r="J42" s="49">
        <f>IF(Tx_2026_09[[#This Row],[DOP]]="","",Tx_2026_09[[#This Row],[DOP]]/$T$3)</f>
      </c>
      <c r="K42" s="53"/>
    </row>
    <row r="43" s="1" customFormat="1">
      <c r="B43" s="50">
        <v>46276</v>
      </c>
      <c r="C43" s="45" t="s">
        <v>70</v>
      </c>
      <c r="D43" s="52" t="s">
        <v>90</v>
      </c>
      <c r="E43" s="45" t="s">
        <v>36</v>
      </c>
      <c r="F43" s="52" t="s">
        <v>66</v>
      </c>
      <c r="G43" s="47">
        <v>2100</v>
      </c>
      <c r="H43" s="46" t="s">
        <v>14</v>
      </c>
      <c r="I43" s="48">
        <f>IF(Tx_2026_09[[#This Row],[Monto]]="","",IF(Tx_2026_09[[#This Row],[Moneda]]="USD",Tx_2026_09[[#This Row],[Monto]]*$T$3,Tx_2026_09[[#This Row],[Monto]]))</f>
      </c>
      <c r="J43" s="49">
        <f>IF(Tx_2026_09[[#This Row],[DOP]]="","",Tx_2026_09[[#This Row],[DOP]]/$T$3)</f>
      </c>
      <c r="K43" s="53"/>
    </row>
    <row r="44" s="1" customFormat="1">
      <c r="B44" s="50">
        <v>46279</v>
      </c>
      <c r="C44" s="45" t="s">
        <v>91</v>
      </c>
      <c r="D44" s="52" t="s">
        <v>92</v>
      </c>
      <c r="E44" s="45" t="s">
        <v>38</v>
      </c>
      <c r="F44" s="52" t="s">
        <v>74</v>
      </c>
      <c r="G44" s="47">
        <v>850</v>
      </c>
      <c r="H44" s="46" t="s">
        <v>14</v>
      </c>
      <c r="I44" s="48">
        <f>IF(Tx_2026_09[[#This Row],[Monto]]="","",IF(Tx_2026_09[[#This Row],[Moneda]]="USD",Tx_2026_09[[#This Row],[Monto]]*$T$3,Tx_2026_09[[#This Row],[Monto]]))</f>
      </c>
      <c r="J44" s="49">
        <f>IF(Tx_2026_09[[#This Row],[DOP]]="","",Tx_2026_09[[#This Row],[DOP]]/$T$3)</f>
      </c>
      <c r="K44" s="53"/>
    </row>
    <row r="45" s="1" customFormat="1">
      <c r="B45" s="50">
        <v>46281</v>
      </c>
      <c r="C45" s="45" t="s">
        <v>64</v>
      </c>
      <c r="D45" s="52" t="s">
        <v>75</v>
      </c>
      <c r="E45" s="45" t="s">
        <v>34</v>
      </c>
      <c r="F45" s="52" t="s">
        <v>66</v>
      </c>
      <c r="G45" s="47">
        <v>5320</v>
      </c>
      <c r="H45" s="46" t="s">
        <v>14</v>
      </c>
      <c r="I45" s="48">
        <f>IF(Tx_2026_09[[#This Row],[Monto]]="","",IF(Tx_2026_09[[#This Row],[Moneda]]="USD",Tx_2026_09[[#This Row],[Monto]]*$T$3,Tx_2026_09[[#This Row],[Monto]]))</f>
      </c>
      <c r="J45" s="49">
        <f>IF(Tx_2026_09[[#This Row],[DOP]]="","",Tx_2026_09[[#This Row],[DOP]]/$T$3)</f>
      </c>
      <c r="K45" s="53"/>
    </row>
    <row r="46" s="1" customFormat="1">
      <c r="B46" s="50">
        <v>46284</v>
      </c>
      <c r="C46" s="45" t="s">
        <v>93</v>
      </c>
      <c r="D46" s="52" t="s">
        <v>94</v>
      </c>
      <c r="E46" s="45" t="s">
        <v>40</v>
      </c>
      <c r="F46" s="52" t="s">
        <v>66</v>
      </c>
      <c r="G46" s="47">
        <v>980</v>
      </c>
      <c r="H46" s="46" t="s">
        <v>14</v>
      </c>
      <c r="I46" s="48">
        <f>IF(Tx_2026_09[[#This Row],[Monto]]="","",IF(Tx_2026_09[[#This Row],[Moneda]]="USD",Tx_2026_09[[#This Row],[Monto]]*$T$3,Tx_2026_09[[#This Row],[Monto]]))</f>
      </c>
      <c r="J46" s="49">
        <f>IF(Tx_2026_09[[#This Row],[DOP]]="","",Tx_2026_09[[#This Row],[DOP]]/$T$3)</f>
      </c>
      <c r="K46" s="53"/>
    </row>
    <row r="47" s="1" customFormat="1">
      <c r="B47" s="50">
        <v>46288</v>
      </c>
      <c r="C47" s="45" t="s">
        <v>95</v>
      </c>
      <c r="D47" s="52" t="s">
        <v>96</v>
      </c>
      <c r="E47" s="45" t="s">
        <v>50</v>
      </c>
      <c r="F47" s="52" t="s">
        <v>66</v>
      </c>
      <c r="G47" s="47">
        <v>4800</v>
      </c>
      <c r="H47" s="46" t="s">
        <v>14</v>
      </c>
      <c r="I47" s="48">
        <f>IF(Tx_2026_09[[#This Row],[Monto]]="","",IF(Tx_2026_09[[#This Row],[Moneda]]="USD",Tx_2026_09[[#This Row],[Monto]]*$T$3,Tx_2026_09[[#This Row],[Monto]]))</f>
      </c>
      <c r="J47" s="49">
        <f>IF(Tx_2026_09[[#This Row],[DOP]]="","",Tx_2026_09[[#This Row],[DOP]]/$T$3)</f>
      </c>
      <c r="K47" s="53" t="s">
        <v>97</v>
      </c>
    </row>
    <row r="48" s="1" customFormat="1">
      <c r="B48" s="50">
        <v>46293</v>
      </c>
      <c r="C48" s="45" t="s">
        <v>70</v>
      </c>
      <c r="D48" s="52" t="s">
        <v>84</v>
      </c>
      <c r="E48" s="45" t="s">
        <v>36</v>
      </c>
      <c r="F48" s="52" t="s">
        <v>66</v>
      </c>
      <c r="G48" s="47">
        <v>1900</v>
      </c>
      <c r="H48" s="46" t="s">
        <v>14</v>
      </c>
      <c r="I48" s="48">
        <f>IF(Tx_2026_09[[#This Row],[Monto]]="","",IF(Tx_2026_09[[#This Row],[Moneda]]="USD",Tx_2026_09[[#This Row],[Monto]]*$T$3,Tx_2026_09[[#This Row],[Monto]]))</f>
      </c>
      <c r="J48" s="49">
        <f>IF(Tx_2026_09[[#This Row],[DOP]]="","",Tx_2026_09[[#This Row],[DOP]]/$T$3)</f>
      </c>
      <c r="K48" s="53"/>
    </row>
    <row r="49" s="1" customFormat="1">
      <c r="B49" s="50"/>
      <c r="C49" s="45"/>
      <c r="D49" s="52"/>
      <c r="E49" s="45"/>
      <c r="F49" s="52"/>
      <c r="G49" s="47"/>
      <c r="H49" s="46"/>
      <c r="I49" s="48">
        <f>IF(Tx_2026_09[[#This Row],[Monto]]="","",IF(Tx_2026_09[[#This Row],[Moneda]]="USD",Tx_2026_09[[#This Row],[Monto]]*$T$3,Tx_2026_09[[#This Row],[Monto]]))</f>
      </c>
      <c r="J49" s="49">
        <f>IF(Tx_2026_09[[#This Row],[DOP]]="","",Tx_2026_09[[#This Row],[DOP]]/$T$3)</f>
      </c>
      <c r="K49" s="53"/>
    </row>
    <row r="50" s="1" customFormat="1">
      <c r="B50" s="50"/>
      <c r="C50" s="45"/>
      <c r="D50" s="52"/>
      <c r="E50" s="45"/>
      <c r="F50" s="52"/>
      <c r="G50" s="47"/>
      <c r="H50" s="46"/>
      <c r="I50" s="48">
        <f>IF(Tx_2026_09[[#This Row],[Monto]]="","",IF(Tx_2026_09[[#This Row],[Moneda]]="USD",Tx_2026_09[[#This Row],[Monto]]*$T$3,Tx_2026_09[[#This Row],[Monto]]))</f>
      </c>
      <c r="J50" s="49">
        <f>IF(Tx_2026_09[[#This Row],[DOP]]="","",Tx_2026_09[[#This Row],[DOP]]/$T$3)</f>
      </c>
      <c r="K50" s="53"/>
    </row>
    <row r="51" s="1" customFormat="1">
      <c r="B51" s="50"/>
      <c r="C51" s="45"/>
      <c r="D51" s="52"/>
      <c r="E51" s="45"/>
      <c r="F51" s="52"/>
      <c r="G51" s="47"/>
      <c r="H51" s="46"/>
      <c r="I51" s="48">
        <f>IF(Tx_2026_09[[#This Row],[Monto]]="","",IF(Tx_2026_09[[#This Row],[Moneda]]="USD",Tx_2026_09[[#This Row],[Monto]]*$T$3,Tx_2026_09[[#This Row],[Monto]]))</f>
      </c>
      <c r="J51" s="49">
        <f>IF(Tx_2026_09[[#This Row],[DOP]]="","",Tx_2026_09[[#This Row],[DOP]]/$T$3)</f>
      </c>
      <c r="K51" s="53"/>
    </row>
    <row r="52" s="1" customFormat="1">
      <c r="B52" s="50"/>
      <c r="C52" s="45"/>
      <c r="D52" s="52"/>
      <c r="E52" s="45"/>
      <c r="F52" s="52"/>
      <c r="G52" s="47"/>
      <c r="H52" s="46"/>
      <c r="I52" s="48">
        <f>IF(Tx_2026_09[[#This Row],[Monto]]="","",IF(Tx_2026_09[[#This Row],[Moneda]]="USD",Tx_2026_09[[#This Row],[Monto]]*$T$3,Tx_2026_09[[#This Row],[Monto]]))</f>
      </c>
      <c r="J52" s="49">
        <f>IF(Tx_2026_09[[#This Row],[DOP]]="","",Tx_2026_09[[#This Row],[DOP]]/$T$3)</f>
      </c>
      <c r="K52" s="53"/>
    </row>
    <row r="53" s="1" customFormat="1">
      <c r="B53" s="50"/>
      <c r="C53" s="45"/>
      <c r="D53" s="52"/>
      <c r="E53" s="45"/>
      <c r="F53" s="52"/>
      <c r="G53" s="47"/>
      <c r="H53" s="46"/>
      <c r="I53" s="48">
        <f>IF(Tx_2026_09[[#This Row],[Monto]]="","",IF(Tx_2026_09[[#This Row],[Moneda]]="USD",Tx_2026_09[[#This Row],[Monto]]*$T$3,Tx_2026_09[[#This Row],[Monto]]))</f>
      </c>
      <c r="J53" s="49">
        <f>IF(Tx_2026_09[[#This Row],[DOP]]="","",Tx_2026_09[[#This Row],[DOP]]/$T$3)</f>
      </c>
      <c r="K53" s="53"/>
    </row>
    <row r="54" s="1" customFormat="1">
      <c r="B54" s="50"/>
      <c r="C54" s="45"/>
      <c r="D54" s="52"/>
      <c r="E54" s="45"/>
      <c r="F54" s="52"/>
      <c r="G54" s="47"/>
      <c r="H54" s="46"/>
      <c r="I54" s="48">
        <f>IF(Tx_2026_09[[#This Row],[Monto]]="","",IF(Tx_2026_09[[#This Row],[Moneda]]="USD",Tx_2026_09[[#This Row],[Monto]]*$T$3,Tx_2026_09[[#This Row],[Monto]]))</f>
      </c>
      <c r="J54" s="49">
        <f>IF(Tx_2026_09[[#This Row],[DOP]]="","",Tx_2026_09[[#This Row],[DOP]]/$T$3)</f>
      </c>
      <c r="K54" s="53"/>
    </row>
    <row r="55" s="1" customFormat="1">
      <c r="B55" s="50"/>
      <c r="C55" s="45"/>
      <c r="D55" s="52"/>
      <c r="E55" s="45"/>
      <c r="F55" s="52"/>
      <c r="G55" s="47"/>
      <c r="H55" s="46"/>
      <c r="I55" s="48">
        <f>IF(Tx_2026_09[[#This Row],[Monto]]="","",IF(Tx_2026_09[[#This Row],[Moneda]]="USD",Tx_2026_09[[#This Row],[Monto]]*$T$3,Tx_2026_09[[#This Row],[Monto]]))</f>
      </c>
      <c r="J55" s="49">
        <f>IF(Tx_2026_09[[#This Row],[DOP]]="","",Tx_2026_09[[#This Row],[DOP]]/$T$3)</f>
      </c>
      <c r="K55" s="53"/>
    </row>
    <row r="56" s="1" customFormat="1">
      <c r="B56" s="50"/>
      <c r="C56" s="45"/>
      <c r="D56" s="52"/>
      <c r="E56" s="45"/>
      <c r="F56" s="52"/>
      <c r="G56" s="47"/>
      <c r="H56" s="46"/>
      <c r="I56" s="48">
        <f>IF(Tx_2026_09[[#This Row],[Monto]]="","",IF(Tx_2026_09[[#This Row],[Moneda]]="USD",Tx_2026_09[[#This Row],[Monto]]*$T$3,Tx_2026_09[[#This Row],[Monto]]))</f>
      </c>
      <c r="J56" s="49">
        <f>IF(Tx_2026_09[[#This Row],[DOP]]="","",Tx_2026_09[[#This Row],[DOP]]/$T$3)</f>
      </c>
      <c r="K56" s="53"/>
    </row>
    <row r="57" s="1" customFormat="1">
      <c r="B57" s="50"/>
      <c r="C57" s="45"/>
      <c r="D57" s="52"/>
      <c r="E57" s="45"/>
      <c r="F57" s="52"/>
      <c r="G57" s="47"/>
      <c r="H57" s="46"/>
      <c r="I57" s="48">
        <f>IF(Tx_2026_09[[#This Row],[Monto]]="","",IF(Tx_2026_09[[#This Row],[Moneda]]="USD",Tx_2026_09[[#This Row],[Monto]]*$T$3,Tx_2026_09[[#This Row],[Monto]]))</f>
      </c>
      <c r="J57" s="49">
        <f>IF(Tx_2026_09[[#This Row],[DOP]]="","",Tx_2026_09[[#This Row],[DOP]]/$T$3)</f>
      </c>
      <c r="K57" s="53"/>
    </row>
    <row r="58" s="1" customFormat="1">
      <c r="B58" s="50"/>
      <c r="C58" s="45"/>
      <c r="D58" s="52"/>
      <c r="E58" s="45"/>
      <c r="F58" s="52"/>
      <c r="G58" s="47"/>
      <c r="H58" s="46"/>
      <c r="I58" s="48">
        <f>IF(Tx_2026_09[[#This Row],[Monto]]="","",IF(Tx_2026_09[[#This Row],[Moneda]]="USD",Tx_2026_09[[#This Row],[Monto]]*$T$3,Tx_2026_09[[#This Row],[Monto]]))</f>
      </c>
      <c r="J58" s="49">
        <f>IF(Tx_2026_09[[#This Row],[DOP]]="","",Tx_2026_09[[#This Row],[DOP]]/$T$3)</f>
      </c>
      <c r="K58" s="53"/>
    </row>
    <row r="59" s="1" customFormat="1">
      <c r="B59" s="50"/>
      <c r="C59" s="45"/>
      <c r="D59" s="52"/>
      <c r="E59" s="45"/>
      <c r="F59" s="52"/>
      <c r="G59" s="47"/>
      <c r="H59" s="46"/>
      <c r="I59" s="48">
        <f>IF(Tx_2026_09[[#This Row],[Monto]]="","",IF(Tx_2026_09[[#This Row],[Moneda]]="USD",Tx_2026_09[[#This Row],[Monto]]*$T$3,Tx_2026_09[[#This Row],[Monto]]))</f>
      </c>
      <c r="J59" s="49">
        <f>IF(Tx_2026_09[[#This Row],[DOP]]="","",Tx_2026_09[[#This Row],[DOP]]/$T$3)</f>
      </c>
      <c r="K59" s="53"/>
    </row>
    <row r="60" s="1" customFormat="1">
      <c r="B60" s="50"/>
      <c r="C60" s="45"/>
      <c r="D60" s="52"/>
      <c r="E60" s="45"/>
      <c r="F60" s="52"/>
      <c r="G60" s="47"/>
      <c r="H60" s="46"/>
      <c r="I60" s="48">
        <f>IF(Tx_2026_09[[#This Row],[Monto]]="","",IF(Tx_2026_09[[#This Row],[Moneda]]="USD",Tx_2026_09[[#This Row],[Monto]]*$T$3,Tx_2026_09[[#This Row],[Monto]]))</f>
      </c>
      <c r="J60" s="49">
        <f>IF(Tx_2026_09[[#This Row],[DOP]]="","",Tx_2026_09[[#This Row],[DOP]]/$T$3)</f>
      </c>
      <c r="K60" s="53"/>
    </row>
  </sheetData>
  <mergeCells count="38">
    <mergeCell ref="N1:Q1"/>
    <mergeCell ref="B5:D5"/>
    <mergeCell ref="B6:D6"/>
    <mergeCell ref="C11:D11"/>
    <mergeCell ref="G6:H6"/>
    <mergeCell ref="G8:H8"/>
    <mergeCell ref="G9:H9"/>
    <mergeCell ref="G10:H10"/>
    <mergeCell ref="O6:Q6"/>
    <mergeCell ref="O8:Q8"/>
    <mergeCell ref="O9:Q9"/>
    <mergeCell ref="O10:Q10"/>
    <mergeCell ref="O11:Q11"/>
    <mergeCell ref="H14:K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O28:Q28"/>
    <mergeCell ref="H37:K37"/>
  </mergeCells>
  <conditionalFormatting sqref="C11">
    <cfRule type="cellIs" dxfId="0" priority="1" operator="lessThan">
      <formula>0</formula>
    </cfRule>
  </conditionalFormatting>
  <conditionalFormatting sqref="O9:O10">
    <cfRule type="cellIs" dxfId="0" priority="2" operator="lessThan">
      <formula>0</formula>
    </cfRule>
  </conditionalFormatting>
  <conditionalFormatting sqref="B16:B30">
    <cfRule type="cellIs" dxfId="1" priority="3" operator="equal">
      <formula>"Sí"</formula>
    </cfRule>
    <cfRule type="cellIs" dxfId="2" priority="4" operator="equal">
      <formula>"No"</formula>
    </cfRule>
  </conditionalFormatting>
  <conditionalFormatting sqref="O15:P15">
    <cfRule type="dataBar" priority="5">
      <dataBar showValue="0">
        <cfvo type="num" val="0"/>
        <cfvo type="formula" val="MAX($Q$15:$Q$25)"/>
        <color rgb="FF2B3A33"/>
      </dataBar>
    </cfRule>
  </conditionalFormatting>
  <conditionalFormatting sqref="O16:P25">
    <cfRule type="dataBar" priority="6">
      <dataBar showValue="0">
        <cfvo type="num" val="0"/>
        <cfvo type="formula" val="MAX($Q$15:$Q$25)"/>
        <color rgb="FF2F7D52"/>
      </dataBar>
    </cfRule>
  </conditionalFormatting>
  <dataValidations count="6">
    <dataValidation type="list" allowBlank="1" showErrorMessage="1" sqref="B16:B30">
      <formula1>"Sí,No"</formula1>
    </dataValidation>
    <dataValidation type="list" allowBlank="1" showErrorMessage="1" sqref="F16:F30">
      <formula1>"DOP,USD"</formula1>
    </dataValidation>
    <dataValidation type="list" allowBlank="1" showErrorMessage="1" sqref="N30:N34">
      <formula1>"Remitly,PayPal"</formula1>
    </dataValidation>
    <dataValidation type="list" allowBlank="1" showErrorMessage="1" sqref="E39:E3000">
      <formula1>Config!$E$4:$E$13</formula1>
    </dataValidation>
    <dataValidation type="list" allowBlank="1" showErrorMessage="1" sqref="F39:F3000">
      <formula1>Config!$F$4:$F$6</formula1>
    </dataValidation>
    <dataValidation type="list" allowBlank="1" showErrorMessage="1" sqref="H39:H3000">
      <formula1>"DOP,USD"</formula1>
    </dataValidation>
  </dataValidations>
  <pageMargins left="0.5" right="0.5" top="0.5" bottom="0.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7D52"/>
  </sheetPr>
  <sheetViews>
    <sheetView workbookViewId="0" showGridLines="0" zoomScale="100" tabSelected="1"/>
  </sheetViews>
  <sheetFormatPr defaultRowHeight="20" customHeight="1"/>
  <cols>
    <col min="1" max="1" width="2" style="1" customWidth="1"/>
    <col min="2" max="2" width="16" style="1" customWidth="1"/>
    <col min="3" max="3" width="22" style="1" customWidth="1"/>
    <col min="4" max="4" width="16" style="1" customWidth="1"/>
    <col min="5" max="5" width="15" style="1" customWidth="1"/>
    <col min="6" max="6" width="14" style="1" customWidth="1"/>
    <col min="7" max="7" width="12" style="1" customWidth="1"/>
    <col min="8" max="8" width="8" style="1" customWidth="1"/>
    <col min="9" max="9" width="13" style="1" customWidth="1"/>
    <col min="10" max="10" width="12" style="1" customWidth="1"/>
    <col min="11" max="11" width="18" style="1" customWidth="1"/>
    <col min="12" max="12" width="3" style="1" customWidth="1"/>
    <col min="13" max="13" width="11" style="1" customWidth="1"/>
    <col min="14" max="14" width="10" style="1" customWidth="1"/>
    <col min="15" max="15" width="10" style="1" customWidth="1"/>
    <col min="16" max="16" width="8" style="1" customWidth="1"/>
    <col min="17" max="17" width="12" style="1" customWidth="1"/>
    <col min="18" max="18" width="2" style="1" customWidth="1"/>
    <col min="19" max="19" width="2" style="1" customWidth="1"/>
    <col min="20" max="20" width="14" style="1" customWidth="1" hidden="1"/>
    <col min="21" max="60" width="9" style="1"/>
  </cols>
  <sheetData>
    <row r="1" s="1" customFormat="1" ht="26" customHeight="1">
      <c r="A1" s="2"/>
      <c r="B1" s="3" t="s">
        <v>0</v>
      </c>
      <c r="C1" s="2"/>
      <c r="D1" s="4" t="s">
        <v>98</v>
      </c>
      <c r="E1" s="2"/>
      <c r="F1" s="2"/>
      <c r="G1" s="2"/>
      <c r="H1" s="2"/>
      <c r="I1" s="2"/>
      <c r="J1" s="2"/>
      <c r="K1" s="2"/>
      <c r="L1" s="2"/>
      <c r="M1" s="5" t="s">
        <v>2</v>
      </c>
      <c r="N1" s="6">
        <f>"1 USD = "&amp;FIXED($T$3,2)&amp;" DOP"</f>
      </c>
      <c r="O1" s="2"/>
      <c r="P1" s="2"/>
      <c r="Q1" s="2"/>
      <c r="R1" s="2"/>
    </row>
    <row r="2" s="1" customFormat="1" ht="16" customHeight="1">
      <c r="B2" s="7" t="s">
        <v>3</v>
      </c>
      <c r="T2" s="8" t="s">
        <v>4</v>
      </c>
    </row>
    <row r="3" s="1" customFormat="1" ht="6" customHeight="1">
      <c r="T3" s="0">
        <f>IFERROR(SUMPRODUCT(Env_2026_10[USD],Env_2026_10[Tasa])/SUM(Env_2026_10[USD]),Config!$C$4)</f>
      </c>
    </row>
    <row r="4" s="1" customFormat="1" ht="18" customHeight="1">
      <c r="B4" s="9" t="s">
        <v>5</v>
      </c>
      <c r="C4" s="10"/>
      <c r="D4" s="11"/>
      <c r="E4" s="12"/>
      <c r="F4" s="10"/>
      <c r="G4" s="13" t="s">
        <v>6</v>
      </c>
      <c r="H4" s="10"/>
      <c r="I4" s="11"/>
      <c r="J4" s="9">
        <f>UPPER($D$1)</f>
      </c>
      <c r="K4" s="10"/>
      <c r="L4" s="10"/>
      <c r="M4" s="10"/>
      <c r="N4" s="10"/>
      <c r="O4" s="10"/>
      <c r="P4" s="10"/>
      <c r="Q4" s="11"/>
      <c r="T4" s="0">
        <f>SUMIFS(Fijos_2026_10[DOP],Fijos_2026_10[Pagado],"Sí")</f>
      </c>
    </row>
    <row r="5" s="1" customFormat="1" ht="28" customHeight="1">
      <c r="B5" s="14">
        <f>C8*$T$3+C9</f>
      </c>
      <c r="C5" s="15"/>
      <c r="D5" s="16"/>
      <c r="E5" s="17"/>
      <c r="F5" s="15"/>
      <c r="G5" s="15"/>
      <c r="H5" s="15"/>
      <c r="I5" s="16"/>
      <c r="J5" s="18">
        <f>FIXED(100*$T$8/MAX(1,O6),1)&amp;"% del presupuesto usado"</f>
      </c>
      <c r="K5" s="15"/>
      <c r="L5" s="15"/>
      <c r="M5" s="15"/>
      <c r="N5" s="15"/>
      <c r="O5" s="15"/>
      <c r="P5" s="15"/>
      <c r="Q5" s="16"/>
      <c r="T5" s="0">
        <f>SUM(Tx_2026_10[DOP])</f>
      </c>
    </row>
    <row r="6" s="1" customFormat="1" ht="18" customHeight="1">
      <c r="B6" s="19">
        <f>C8+C9/$T$3</f>
      </c>
      <c r="C6" s="15"/>
      <c r="D6" s="16"/>
      <c r="E6" s="17"/>
      <c r="F6" s="15"/>
      <c r="G6" s="15" t="s">
        <v>7</v>
      </c>
      <c r="H6" s="15"/>
      <c r="I6" s="20">
        <f>$T$4</f>
      </c>
      <c r="J6" s="21" t="s">
        <v>8</v>
      </c>
      <c r="K6" s="22"/>
      <c r="L6" s="22"/>
      <c r="M6" s="22"/>
      <c r="N6" s="22"/>
      <c r="O6" s="23">
        <v>70000</v>
      </c>
      <c r="P6" s="22"/>
      <c r="Q6" s="24"/>
      <c r="T6" s="0">
        <f>SUMIFS(Fijos_2026_10[DOP],Fijos_2026_10[Pagado],"No")</f>
      </c>
    </row>
    <row r="7" s="1" customFormat="1" ht="10" customHeight="1">
      <c r="B7" s="17"/>
      <c r="C7" s="15"/>
      <c r="D7" s="16"/>
      <c r="E7" s="17"/>
      <c r="F7" s="15"/>
      <c r="G7" s="15"/>
      <c r="H7" s="15"/>
      <c r="I7" s="16"/>
      <c r="J7" s="17"/>
      <c r="K7" s="15"/>
      <c r="L7" s="15"/>
      <c r="M7" s="15"/>
      <c r="N7" s="15"/>
      <c r="O7" s="15"/>
      <c r="P7" s="15"/>
      <c r="Q7" s="16"/>
      <c r="T7" s="0">
        <f>MAX(0,O6-T4-T5-T6)</f>
      </c>
    </row>
    <row r="8" s="1" customFormat="1" ht="20" customHeight="1">
      <c r="B8" s="25" t="s">
        <v>9</v>
      </c>
      <c r="C8" s="26">
        <v>4320</v>
      </c>
      <c r="D8" s="27" t="s">
        <v>10</v>
      </c>
      <c r="E8" s="17"/>
      <c r="F8" s="15"/>
      <c r="G8" s="15" t="s">
        <v>11</v>
      </c>
      <c r="H8" s="15"/>
      <c r="I8" s="20">
        <f>$T$5</f>
      </c>
      <c r="J8" s="28" t="s">
        <v>12</v>
      </c>
      <c r="K8" s="22"/>
      <c r="L8" s="22"/>
      <c r="M8" s="22"/>
      <c r="N8" s="22"/>
      <c r="O8" s="29">
        <f>$T$8</f>
      </c>
      <c r="P8" s="22"/>
      <c r="Q8" s="24"/>
      <c r="T8" s="0">
        <f>T4+T5</f>
      </c>
    </row>
    <row r="9" s="1" customFormat="1" ht="20" customHeight="1">
      <c r="B9" s="25" t="s">
        <v>13</v>
      </c>
      <c r="C9" s="26">
        <v>86400</v>
      </c>
      <c r="D9" s="27" t="s">
        <v>14</v>
      </c>
      <c r="E9" s="17"/>
      <c r="F9" s="15"/>
      <c r="G9" s="15" t="s">
        <v>15</v>
      </c>
      <c r="H9" s="15"/>
      <c r="I9" s="20">
        <f>$T$6</f>
      </c>
      <c r="J9" s="28" t="s">
        <v>16</v>
      </c>
      <c r="K9" s="22"/>
      <c r="L9" s="22"/>
      <c r="M9" s="22"/>
      <c r="N9" s="22"/>
      <c r="O9" s="30">
        <f>O6-O8</f>
      </c>
      <c r="P9" s="22"/>
      <c r="Q9" s="24"/>
      <c r="T9" s="0">
        <f>FIXED(T8,0)</f>
      </c>
    </row>
    <row r="10" s="1" customFormat="1" ht="20" customHeight="1">
      <c r="B10" s="25" t="s">
        <v>17</v>
      </c>
      <c r="C10" s="26">
        <v>5800</v>
      </c>
      <c r="D10" s="27" t="s">
        <v>10</v>
      </c>
      <c r="E10" s="17"/>
      <c r="F10" s="15"/>
      <c r="G10" s="15" t="s">
        <v>18</v>
      </c>
      <c r="H10" s="15"/>
      <c r="I10" s="20">
        <f>$T$7</f>
      </c>
      <c r="J10" s="25" t="s">
        <v>19</v>
      </c>
      <c r="K10" s="22"/>
      <c r="L10" s="22"/>
      <c r="M10" s="22"/>
      <c r="N10" s="22"/>
      <c r="O10" s="31">
        <f>O9-$T$6</f>
      </c>
      <c r="P10" s="22"/>
      <c r="Q10" s="24"/>
      <c r="T10" s="0">
        <f>"de "&amp;FIXED(O6,0)&amp;" DOP"</f>
      </c>
    </row>
    <row r="11" s="1" customFormat="1" ht="20" customHeight="1">
      <c r="B11" s="32" t="s">
        <v>20</v>
      </c>
      <c r="C11" s="33">
        <f>C10*$T$3-$T$8</f>
      </c>
      <c r="D11" s="16"/>
      <c r="E11" s="17"/>
      <c r="F11" s="15"/>
      <c r="G11" s="15"/>
      <c r="H11" s="15"/>
      <c r="I11" s="16"/>
      <c r="J11" s="25" t="s">
        <v>21</v>
      </c>
      <c r="K11" s="22"/>
      <c r="L11" s="22"/>
      <c r="M11" s="22"/>
      <c r="N11" s="22"/>
      <c r="O11" s="31">
        <f>$T$8/$T$3</f>
      </c>
      <c r="P11" s="22"/>
      <c r="Q11" s="24"/>
    </row>
    <row r="12" s="1" customFormat="1" ht="10" customHeight="1">
      <c r="B12" s="34"/>
      <c r="C12" s="35"/>
      <c r="D12" s="36"/>
      <c r="E12" s="34"/>
      <c r="F12" s="35"/>
      <c r="G12" s="35"/>
      <c r="H12" s="35"/>
      <c r="I12" s="36"/>
      <c r="J12" s="34"/>
      <c r="K12" s="35"/>
      <c r="L12" s="35"/>
      <c r="M12" s="35"/>
      <c r="N12" s="35"/>
      <c r="O12" s="35"/>
      <c r="P12" s="35"/>
      <c r="Q12" s="36"/>
    </row>
    <row r="13" s="1" customFormat="1" ht="10" customHeight="1"/>
    <row r="14" s="1" customFormat="1" ht="26" customHeight="1">
      <c r="B14" s="37" t="s">
        <v>22</v>
      </c>
      <c r="C14" s="10"/>
      <c r="D14" s="10"/>
      <c r="E14" s="10"/>
      <c r="F14" s="10"/>
      <c r="G14" s="10"/>
      <c r="H14" s="38">
        <f>COUNTIFS(Fijos_2026_10[Pagado],"Sí")&amp;" de "&amp;COUNTA(Fijos_2026_10[Concepto])&amp;" pagados · total "&amp;FIXED(SUM(Fijos_2026_10[DOP]),2)&amp;" DOP"</f>
      </c>
      <c r="I14" s="10"/>
      <c r="J14" s="10"/>
      <c r="K14" s="11"/>
      <c r="M14" s="37" t="s">
        <v>23</v>
      </c>
      <c r="N14" s="10"/>
      <c r="O14" s="10"/>
      <c r="P14" s="10"/>
      <c r="Q14" s="39" t="s">
        <v>14</v>
      </c>
    </row>
    <row r="15" s="1" customFormat="1">
      <c r="B15" s="40" t="s">
        <v>24</v>
      </c>
      <c r="C15" s="41" t="s">
        <v>25</v>
      </c>
      <c r="D15" s="41" t="s">
        <v>26</v>
      </c>
      <c r="E15" s="42" t="s">
        <v>27</v>
      </c>
      <c r="F15" s="41" t="s">
        <v>28</v>
      </c>
      <c r="G15" s="42" t="s">
        <v>14</v>
      </c>
      <c r="H15" s="42" t="s">
        <v>10</v>
      </c>
      <c r="I15" s="15"/>
      <c r="J15" s="15"/>
      <c r="K15" s="16"/>
      <c r="M15" s="17" t="s">
        <v>29</v>
      </c>
      <c r="N15" s="15"/>
      <c r="O15" s="43">
        <f>Q15</f>
      </c>
      <c r="P15" s="15"/>
      <c r="Q15" s="20">
        <f>$T$4</f>
      </c>
    </row>
    <row r="16" s="1" customFormat="1">
      <c r="B16" s="44" t="s">
        <v>30</v>
      </c>
      <c r="C16" s="45" t="s">
        <v>31</v>
      </c>
      <c r="D16" s="46"/>
      <c r="E16" s="47">
        <v>1337.15</v>
      </c>
      <c r="F16" s="46" t="s">
        <v>14</v>
      </c>
      <c r="G16" s="48">
        <f>IF(Fijos_2026_10[[#This Row],[Monto]]="","",IF(Fijos_2026_10[[#This Row],[Moneda]]="USD",Fijos_2026_10[[#This Row],[Monto]]*$T$3,Fijos_2026_10[[#This Row],[Monto]]))</f>
      </c>
      <c r="H16" s="49">
        <f>IF(Fijos_2026_10[[#This Row],[DOP]]="","",Fijos_2026_10[[#This Row],[DOP]]/$T$3)</f>
      </c>
      <c r="I16" s="15"/>
      <c r="J16" s="15"/>
      <c r="K16" s="16"/>
      <c r="M16" s="17" t="s">
        <v>32</v>
      </c>
      <c r="N16" s="15"/>
      <c r="O16" s="43">
        <f>Q16</f>
      </c>
      <c r="P16" s="15"/>
      <c r="Q16" s="20">
        <f>SUMIFS(Tx_2026_10[DOP],Tx_2026_10[Categoría],M16)</f>
      </c>
    </row>
    <row r="17" s="1" customFormat="1">
      <c r="B17" s="44" t="s">
        <v>30</v>
      </c>
      <c r="C17" s="45" t="s">
        <v>33</v>
      </c>
      <c r="D17" s="46"/>
      <c r="E17" s="47">
        <v>2699</v>
      </c>
      <c r="F17" s="46" t="s">
        <v>14</v>
      </c>
      <c r="G17" s="48">
        <f>IF(Fijos_2026_10[[#This Row],[Monto]]="","",IF(Fijos_2026_10[[#This Row],[Moneda]]="USD",Fijos_2026_10[[#This Row],[Monto]]*$T$3,Fijos_2026_10[[#This Row],[Monto]]))</f>
      </c>
      <c r="H17" s="49">
        <f>IF(Fijos_2026_10[[#This Row],[DOP]]="","",Fijos_2026_10[[#This Row],[DOP]]/$T$3)</f>
      </c>
      <c r="I17" s="15"/>
      <c r="J17" s="15"/>
      <c r="K17" s="16"/>
      <c r="M17" s="17" t="s">
        <v>34</v>
      </c>
      <c r="N17" s="15"/>
      <c r="O17" s="43">
        <f>Q17</f>
      </c>
      <c r="P17" s="15"/>
      <c r="Q17" s="20">
        <f>SUMIFS(Tx_2026_10[DOP],Tx_2026_10[Categoría],M17)</f>
      </c>
    </row>
    <row r="18" s="1" customFormat="1">
      <c r="B18" s="44" t="s">
        <v>30</v>
      </c>
      <c r="C18" s="45" t="s">
        <v>35</v>
      </c>
      <c r="D18" s="46"/>
      <c r="E18" s="47">
        <v>5640</v>
      </c>
      <c r="F18" s="46" t="s">
        <v>14</v>
      </c>
      <c r="G18" s="48">
        <f>IF(Fijos_2026_10[[#This Row],[Monto]]="","",IF(Fijos_2026_10[[#This Row],[Moneda]]="USD",Fijos_2026_10[[#This Row],[Monto]]*$T$3,Fijos_2026_10[[#This Row],[Monto]]))</f>
      </c>
      <c r="H18" s="49">
        <f>IF(Fijos_2026_10[[#This Row],[DOP]]="","",Fijos_2026_10[[#This Row],[DOP]]/$T$3)</f>
      </c>
      <c r="I18" s="15"/>
      <c r="J18" s="15"/>
      <c r="K18" s="16"/>
      <c r="M18" s="17" t="s">
        <v>36</v>
      </c>
      <c r="N18" s="15"/>
      <c r="O18" s="43">
        <f>Q18</f>
      </c>
      <c r="P18" s="15"/>
      <c r="Q18" s="20">
        <f>SUMIFS(Tx_2026_10[DOP],Tx_2026_10[Categoría],M18)</f>
      </c>
    </row>
    <row r="19" s="1" customFormat="1">
      <c r="B19" s="44" t="s">
        <v>30</v>
      </c>
      <c r="C19" s="45" t="s">
        <v>37</v>
      </c>
      <c r="D19" s="46"/>
      <c r="E19" s="47">
        <v>15000</v>
      </c>
      <c r="F19" s="46" t="s">
        <v>14</v>
      </c>
      <c r="G19" s="48">
        <f>IF(Fijos_2026_10[[#This Row],[Monto]]="","",IF(Fijos_2026_10[[#This Row],[Moneda]]="USD",Fijos_2026_10[[#This Row],[Monto]]*$T$3,Fijos_2026_10[[#This Row],[Monto]]))</f>
      </c>
      <c r="H19" s="49">
        <f>IF(Fijos_2026_10[[#This Row],[DOP]]="","",Fijos_2026_10[[#This Row],[DOP]]/$T$3)</f>
      </c>
      <c r="I19" s="15"/>
      <c r="J19" s="15"/>
      <c r="K19" s="16"/>
      <c r="M19" s="17" t="s">
        <v>38</v>
      </c>
      <c r="N19" s="15"/>
      <c r="O19" s="43">
        <f>Q19</f>
      </c>
      <c r="P19" s="15"/>
      <c r="Q19" s="20">
        <f>SUMIFS(Tx_2026_10[DOP],Tx_2026_10[Categoría],M19)</f>
      </c>
    </row>
    <row r="20" s="1" customFormat="1">
      <c r="B20" s="44" t="s">
        <v>30</v>
      </c>
      <c r="C20" s="45" t="s">
        <v>39</v>
      </c>
      <c r="D20" s="46">
        <v>5</v>
      </c>
      <c r="E20" s="47">
        <v>106</v>
      </c>
      <c r="F20" s="46" t="s">
        <v>10</v>
      </c>
      <c r="G20" s="48">
        <f>IF(Fijos_2026_10[[#This Row],[Monto]]="","",IF(Fijos_2026_10[[#This Row],[Moneda]]="USD",Fijos_2026_10[[#This Row],[Monto]]*$T$3,Fijos_2026_10[[#This Row],[Monto]]))</f>
      </c>
      <c r="H20" s="49">
        <f>IF(Fijos_2026_10[[#This Row],[DOP]]="","",Fijos_2026_10[[#This Row],[DOP]]/$T$3)</f>
      </c>
      <c r="I20" s="15"/>
      <c r="J20" s="15"/>
      <c r="K20" s="16"/>
      <c r="M20" s="17" t="s">
        <v>40</v>
      </c>
      <c r="N20" s="15"/>
      <c r="O20" s="43">
        <f>Q20</f>
      </c>
      <c r="P20" s="15"/>
      <c r="Q20" s="20">
        <f>SUMIFS(Tx_2026_10[DOP],Tx_2026_10[Categoría],M20)</f>
      </c>
    </row>
    <row r="21" s="1" customFormat="1">
      <c r="B21" s="44" t="s">
        <v>99</v>
      </c>
      <c r="C21" s="45" t="s">
        <v>41</v>
      </c>
      <c r="D21" s="46">
        <v>16</v>
      </c>
      <c r="E21" s="47">
        <v>121.56</v>
      </c>
      <c r="F21" s="46" t="s">
        <v>14</v>
      </c>
      <c r="G21" s="48">
        <f>IF(Fijos_2026_10[[#This Row],[Monto]]="","",IF(Fijos_2026_10[[#This Row],[Moneda]]="USD",Fijos_2026_10[[#This Row],[Monto]]*$T$3,Fijos_2026_10[[#This Row],[Monto]]))</f>
      </c>
      <c r="H21" s="49">
        <f>IF(Fijos_2026_10[[#This Row],[DOP]]="","",Fijos_2026_10[[#This Row],[DOP]]/$T$3)</f>
      </c>
      <c r="I21" s="15"/>
      <c r="J21" s="15"/>
      <c r="K21" s="16"/>
      <c r="M21" s="17" t="s">
        <v>42</v>
      </c>
      <c r="N21" s="15"/>
      <c r="O21" s="43">
        <f>Q21</f>
      </c>
      <c r="P21" s="15"/>
      <c r="Q21" s="20">
        <f>SUMIFS(Tx_2026_10[DOP],Tx_2026_10[Categoría],M21)</f>
      </c>
    </row>
    <row r="22" s="1" customFormat="1">
      <c r="B22" s="44" t="s">
        <v>99</v>
      </c>
      <c r="C22" s="45" t="s">
        <v>43</v>
      </c>
      <c r="D22" s="46">
        <v>17</v>
      </c>
      <c r="E22" s="47">
        <v>604</v>
      </c>
      <c r="F22" s="46" t="s">
        <v>14</v>
      </c>
      <c r="G22" s="48">
        <f>IF(Fijos_2026_10[[#This Row],[Monto]]="","",IF(Fijos_2026_10[[#This Row],[Moneda]]="USD",Fijos_2026_10[[#This Row],[Monto]]*$T$3,Fijos_2026_10[[#This Row],[Monto]]))</f>
      </c>
      <c r="H22" s="49">
        <f>IF(Fijos_2026_10[[#This Row],[DOP]]="","",Fijos_2026_10[[#This Row],[DOP]]/$T$3)</f>
      </c>
      <c r="I22" s="15"/>
      <c r="J22" s="15"/>
      <c r="K22" s="16"/>
      <c r="M22" s="17" t="s">
        <v>44</v>
      </c>
      <c r="N22" s="15"/>
      <c r="O22" s="43">
        <f>Q22</f>
      </c>
      <c r="P22" s="15"/>
      <c r="Q22" s="20">
        <f>SUMIFS(Tx_2026_10[DOP],Tx_2026_10[Categoría],M22)</f>
      </c>
    </row>
    <row r="23" s="1" customFormat="1">
      <c r="B23" s="44" t="s">
        <v>99</v>
      </c>
      <c r="C23" s="45" t="s">
        <v>45</v>
      </c>
      <c r="D23" s="46"/>
      <c r="E23" s="47">
        <v>308</v>
      </c>
      <c r="F23" s="46" t="s">
        <v>14</v>
      </c>
      <c r="G23" s="48">
        <f>IF(Fijos_2026_10[[#This Row],[Monto]]="","",IF(Fijos_2026_10[[#This Row],[Moneda]]="USD",Fijos_2026_10[[#This Row],[Monto]]*$T$3,Fijos_2026_10[[#This Row],[Monto]]))</f>
      </c>
      <c r="H23" s="49">
        <f>IF(Fijos_2026_10[[#This Row],[DOP]]="","",Fijos_2026_10[[#This Row],[DOP]]/$T$3)</f>
      </c>
      <c r="I23" s="15"/>
      <c r="J23" s="15"/>
      <c r="K23" s="16"/>
      <c r="M23" s="17" t="s">
        <v>46</v>
      </c>
      <c r="N23" s="15"/>
      <c r="O23" s="43">
        <f>Q23</f>
      </c>
      <c r="P23" s="15"/>
      <c r="Q23" s="20">
        <f>SUMIFS(Tx_2026_10[DOP],Tx_2026_10[Categoría],M23)</f>
      </c>
    </row>
    <row r="24" s="1" customFormat="1">
      <c r="B24" s="44" t="s">
        <v>99</v>
      </c>
      <c r="C24" s="45" t="s">
        <v>47</v>
      </c>
      <c r="D24" s="46">
        <v>17</v>
      </c>
      <c r="E24" s="47">
        <v>1550</v>
      </c>
      <c r="F24" s="46" t="s">
        <v>14</v>
      </c>
      <c r="G24" s="48">
        <f>IF(Fijos_2026_10[[#This Row],[Monto]]="","",IF(Fijos_2026_10[[#This Row],[Moneda]]="USD",Fijos_2026_10[[#This Row],[Monto]]*$T$3,Fijos_2026_10[[#This Row],[Monto]]))</f>
      </c>
      <c r="H24" s="49">
        <f>IF(Fijos_2026_10[[#This Row],[DOP]]="","",Fijos_2026_10[[#This Row],[DOP]]/$T$3)</f>
      </c>
      <c r="I24" s="15"/>
      <c r="J24" s="15"/>
      <c r="K24" s="16"/>
      <c r="M24" s="17" t="s">
        <v>48</v>
      </c>
      <c r="N24" s="15"/>
      <c r="O24" s="43">
        <f>Q24</f>
      </c>
      <c r="P24" s="15"/>
      <c r="Q24" s="20">
        <f>SUMIFS(Tx_2026_10[DOP],Tx_2026_10[Categoría],M24)</f>
      </c>
    </row>
    <row r="25" s="1" customFormat="1">
      <c r="B25" s="44" t="s">
        <v>99</v>
      </c>
      <c r="C25" s="45" t="s">
        <v>49</v>
      </c>
      <c r="D25" s="46"/>
      <c r="E25" s="47">
        <v>1137.3</v>
      </c>
      <c r="F25" s="46" t="s">
        <v>14</v>
      </c>
      <c r="G25" s="48">
        <f>IF(Fijos_2026_10[[#This Row],[Monto]]="","",IF(Fijos_2026_10[[#This Row],[Moneda]]="USD",Fijos_2026_10[[#This Row],[Monto]]*$T$3,Fijos_2026_10[[#This Row],[Monto]]))</f>
      </c>
      <c r="H25" s="49">
        <f>IF(Fijos_2026_10[[#This Row],[DOP]]="","",Fijos_2026_10[[#This Row],[DOP]]/$T$3)</f>
      </c>
      <c r="I25" s="15"/>
      <c r="J25" s="15"/>
      <c r="K25" s="16"/>
      <c r="M25" s="17" t="s">
        <v>50</v>
      </c>
      <c r="N25" s="15"/>
      <c r="O25" s="43">
        <f>Q25</f>
      </c>
      <c r="P25" s="15"/>
      <c r="Q25" s="20">
        <f>SUMIFS(Tx_2026_10[DOP],Tx_2026_10[Categoría],M25)</f>
      </c>
    </row>
    <row r="26" s="1" customFormat="1">
      <c r="B26" s="44" t="s">
        <v>30</v>
      </c>
      <c r="C26" s="45" t="s">
        <v>51</v>
      </c>
      <c r="D26" s="46"/>
      <c r="E26" s="47">
        <v>7400</v>
      </c>
      <c r="F26" s="46" t="s">
        <v>14</v>
      </c>
      <c r="G26" s="48">
        <f>IF(Fijos_2026_10[[#This Row],[Monto]]="","",IF(Fijos_2026_10[[#This Row],[Moneda]]="USD",Fijos_2026_10[[#This Row],[Monto]]*$T$3,Fijos_2026_10[[#This Row],[Monto]]))</f>
      </c>
      <c r="H26" s="49">
        <f>IF(Fijos_2026_10[[#This Row],[DOP]]="","",Fijos_2026_10[[#This Row],[DOP]]/$T$3)</f>
      </c>
      <c r="I26" s="15"/>
      <c r="J26" s="15"/>
      <c r="K26" s="16"/>
      <c r="M26" s="34"/>
      <c r="N26" s="35"/>
      <c r="O26" s="35"/>
      <c r="P26" s="35"/>
      <c r="Q26" s="36"/>
    </row>
    <row r="27" s="1" customFormat="1">
      <c r="B27" s="44"/>
      <c r="C27" s="45"/>
      <c r="D27" s="46"/>
      <c r="E27" s="47"/>
      <c r="F27" s="46"/>
      <c r="G27" s="48">
        <f>IF(Fijos_2026_10[[#This Row],[Monto]]="","",IF(Fijos_2026_10[[#This Row],[Moneda]]="USD",Fijos_2026_10[[#This Row],[Monto]]*$T$3,Fijos_2026_10[[#This Row],[Monto]]))</f>
      </c>
      <c r="H27" s="49">
        <f>IF(Fijos_2026_10[[#This Row],[DOP]]="","",Fijos_2026_10[[#This Row],[DOP]]/$T$3)</f>
      </c>
      <c r="I27" s="15"/>
      <c r="J27" s="15"/>
      <c r="K27" s="16"/>
    </row>
    <row r="28" s="1" customFormat="1">
      <c r="B28" s="44"/>
      <c r="C28" s="45"/>
      <c r="D28" s="46"/>
      <c r="E28" s="47"/>
      <c r="F28" s="46"/>
      <c r="G28" s="48">
        <f>IF(Fijos_2026_10[[#This Row],[Monto]]="","",IF(Fijos_2026_10[[#This Row],[Moneda]]="USD",Fijos_2026_10[[#This Row],[Monto]]*$T$3,Fijos_2026_10[[#This Row],[Monto]]))</f>
      </c>
      <c r="H28" s="49">
        <f>IF(Fijos_2026_10[[#This Row],[DOP]]="","",Fijos_2026_10[[#This Row],[DOP]]/$T$3)</f>
      </c>
      <c r="I28" s="15"/>
      <c r="J28" s="15"/>
      <c r="K28" s="16"/>
      <c r="M28" s="37" t="s">
        <v>52</v>
      </c>
      <c r="N28" s="10"/>
      <c r="O28" s="38">
        <f>"Promedio "&amp;FIXED($T$3,2)</f>
      </c>
      <c r="P28" s="10"/>
      <c r="Q28" s="11"/>
    </row>
    <row r="29" s="1" customFormat="1">
      <c r="B29" s="44"/>
      <c r="C29" s="45"/>
      <c r="D29" s="46"/>
      <c r="E29" s="47"/>
      <c r="F29" s="46"/>
      <c r="G29" s="48">
        <f>IF(Fijos_2026_10[[#This Row],[Monto]]="","",IF(Fijos_2026_10[[#This Row],[Moneda]]="USD",Fijos_2026_10[[#This Row],[Monto]]*$T$3,Fijos_2026_10[[#This Row],[Monto]]))</f>
      </c>
      <c r="H29" s="49">
        <f>IF(Fijos_2026_10[[#This Row],[DOP]]="","",Fijos_2026_10[[#This Row],[DOP]]/$T$3)</f>
      </c>
      <c r="I29" s="15"/>
      <c r="J29" s="15"/>
      <c r="K29" s="16"/>
      <c r="M29" s="40" t="s">
        <v>53</v>
      </c>
      <c r="N29" s="41" t="s">
        <v>54</v>
      </c>
      <c r="O29" s="42" t="s">
        <v>10</v>
      </c>
      <c r="P29" s="42" t="s">
        <v>55</v>
      </c>
      <c r="Q29" s="42" t="s">
        <v>14</v>
      </c>
    </row>
    <row r="30" s="1" customFormat="1">
      <c r="B30" s="44"/>
      <c r="C30" s="45"/>
      <c r="D30" s="46"/>
      <c r="E30" s="47"/>
      <c r="F30" s="46"/>
      <c r="G30" s="48">
        <f>IF(Fijos_2026_10[[#This Row],[Monto]]="","",IF(Fijos_2026_10[[#This Row],[Moneda]]="USD",Fijos_2026_10[[#This Row],[Monto]]*$T$3,Fijos_2026_10[[#This Row],[Monto]]))</f>
      </c>
      <c r="H30" s="49">
        <f>IF(Fijos_2026_10[[#This Row],[DOP]]="","",Fijos_2026_10[[#This Row],[DOP]]/$T$3)</f>
      </c>
      <c r="I30" s="15"/>
      <c r="J30" s="15"/>
      <c r="K30" s="16"/>
      <c r="M30" s="50">
        <v>46297</v>
      </c>
      <c r="N30" s="45" t="s">
        <v>56</v>
      </c>
      <c r="O30" s="47">
        <v>1500</v>
      </c>
      <c r="P30" s="51">
        <v>58.76</v>
      </c>
      <c r="Q30" s="47">
        <f>IF(Env_2026_10[[#This Row],[USD]]="","",Env_2026_10[[#This Row],[USD]]*Env_2026_10[[#This Row],[Tasa]])</f>
      </c>
    </row>
    <row r="31" s="1" customFormat="1" ht="6" customHeight="1">
      <c r="B31" s="34"/>
      <c r="C31" s="35"/>
      <c r="D31" s="35"/>
      <c r="E31" s="35"/>
      <c r="F31" s="35"/>
      <c r="G31" s="35"/>
      <c r="H31" s="35"/>
      <c r="I31" s="35"/>
      <c r="J31" s="35"/>
      <c r="K31" s="36"/>
      <c r="M31" s="50"/>
      <c r="N31" s="45"/>
      <c r="O31" s="47"/>
      <c r="P31" s="51"/>
      <c r="Q31" s="47">
        <f>IF(Env_2026_10[[#This Row],[USD]]="","",Env_2026_10[[#This Row],[USD]]*Env_2026_10[[#This Row],[Tasa]])</f>
      </c>
    </row>
    <row r="32" s="1" customFormat="1">
      <c r="M32" s="50"/>
      <c r="N32" s="45"/>
      <c r="O32" s="47"/>
      <c r="P32" s="51"/>
      <c r="Q32" s="47">
        <f>IF(Env_2026_10[[#This Row],[USD]]="","",Env_2026_10[[#This Row],[USD]]*Env_2026_10[[#This Row],[Tasa]])</f>
      </c>
    </row>
    <row r="33" s="1" customFormat="1">
      <c r="M33" s="50"/>
      <c r="N33" s="45"/>
      <c r="O33" s="47"/>
      <c r="P33" s="51"/>
      <c r="Q33" s="47">
        <f>IF(Env_2026_10[[#This Row],[USD]]="","",Env_2026_10[[#This Row],[USD]]*Env_2026_10[[#This Row],[Tasa]])</f>
      </c>
    </row>
    <row r="34" s="1" customFormat="1">
      <c r="M34" s="50"/>
      <c r="N34" s="45"/>
      <c r="O34" s="47"/>
      <c r="P34" s="51"/>
      <c r="Q34" s="47">
        <f>IF(Env_2026_10[[#This Row],[USD]]="","",Env_2026_10[[#This Row],[USD]]*Env_2026_10[[#This Row],[Tasa]])</f>
      </c>
    </row>
    <row r="35" s="1" customFormat="1" ht="6" customHeight="1">
      <c r="M35" s="34"/>
      <c r="N35" s="35"/>
      <c r="O35" s="35"/>
      <c r="P35" s="35"/>
      <c r="Q35" s="36"/>
    </row>
    <row r="37" s="1" customFormat="1" ht="26" customHeight="1">
      <c r="B37" s="37" t="s">
        <v>58</v>
      </c>
      <c r="C37" s="10"/>
      <c r="D37" s="10"/>
      <c r="E37" s="10"/>
      <c r="F37" s="10"/>
      <c r="G37" s="10"/>
      <c r="H37" s="38">
        <f>COUNT(Tx_2026_10[Monto])&amp;" transacciones · total "&amp;FIXED($T$5,2)&amp;" DOP"</f>
      </c>
      <c r="I37" s="10"/>
      <c r="J37" s="10"/>
      <c r="K37" s="11"/>
    </row>
    <row r="38" s="1" customFormat="1">
      <c r="B38" s="40" t="s">
        <v>53</v>
      </c>
      <c r="C38" s="41" t="s">
        <v>59</v>
      </c>
      <c r="D38" s="41" t="s">
        <v>60</v>
      </c>
      <c r="E38" s="41" t="s">
        <v>61</v>
      </c>
      <c r="F38" s="41" t="s">
        <v>62</v>
      </c>
      <c r="G38" s="42" t="s">
        <v>27</v>
      </c>
      <c r="H38" s="41" t="s">
        <v>28</v>
      </c>
      <c r="I38" s="42" t="s">
        <v>14</v>
      </c>
      <c r="J38" s="42" t="s">
        <v>10</v>
      </c>
      <c r="K38" s="41" t="s">
        <v>63</v>
      </c>
    </row>
    <row r="39" s="1" customFormat="1">
      <c r="B39" s="50">
        <v>46296</v>
      </c>
      <c r="C39" s="45" t="s">
        <v>64</v>
      </c>
      <c r="D39" s="52" t="s">
        <v>65</v>
      </c>
      <c r="E39" s="45" t="s">
        <v>34</v>
      </c>
      <c r="F39" s="52" t="s">
        <v>66</v>
      </c>
      <c r="G39" s="47">
        <v>4850</v>
      </c>
      <c r="H39" s="46" t="s">
        <v>14</v>
      </c>
      <c r="I39" s="48">
        <f>IF(Tx_2026_10[[#This Row],[Monto]]="","",IF(Tx_2026_10[[#This Row],[Moneda]]="USD",Tx_2026_10[[#This Row],[Monto]]*$T$3,Tx_2026_10[[#This Row],[Monto]]))</f>
      </c>
      <c r="J39" s="49">
        <f>IF(Tx_2026_10[[#This Row],[DOP]]="","",Tx_2026_10[[#This Row],[DOP]]/$T$3)</f>
      </c>
      <c r="K39" s="53"/>
    </row>
    <row r="40" s="1" customFormat="1">
      <c r="B40" s="50">
        <v>46297</v>
      </c>
      <c r="C40" s="45" t="s">
        <v>100</v>
      </c>
      <c r="D40" s="52" t="s">
        <v>67</v>
      </c>
      <c r="E40" s="45" t="s">
        <v>36</v>
      </c>
      <c r="F40" s="52" t="s">
        <v>66</v>
      </c>
      <c r="G40" s="47">
        <v>320</v>
      </c>
      <c r="H40" s="46" t="s">
        <v>14</v>
      </c>
      <c r="I40" s="48">
        <f>IF(Tx_2026_10[[#This Row],[Monto]]="","",IF(Tx_2026_10[[#This Row],[Moneda]]="USD",Tx_2026_10[[#This Row],[Monto]]*$T$3,Tx_2026_10[[#This Row],[Monto]]))</f>
      </c>
      <c r="J40" s="49">
        <f>IF(Tx_2026_10[[#This Row],[DOP]]="","",Tx_2026_10[[#This Row],[DOP]]/$T$3)</f>
      </c>
      <c r="K40" s="53"/>
    </row>
    <row r="41" s="1" customFormat="1">
      <c r="B41" s="50">
        <v>46298</v>
      </c>
      <c r="C41" s="45" t="s">
        <v>68</v>
      </c>
      <c r="D41" s="52" t="s">
        <v>69</v>
      </c>
      <c r="E41" s="45" t="s">
        <v>32</v>
      </c>
      <c r="F41" s="52" t="s">
        <v>66</v>
      </c>
      <c r="G41" s="47">
        <v>1150</v>
      </c>
      <c r="H41" s="46" t="s">
        <v>14</v>
      </c>
      <c r="I41" s="48">
        <f>IF(Tx_2026_10[[#This Row],[Monto]]="","",IF(Tx_2026_10[[#This Row],[Moneda]]="USD",Tx_2026_10[[#This Row],[Monto]]*$T$3,Tx_2026_10[[#This Row],[Monto]]))</f>
      </c>
      <c r="J41" s="49">
        <f>IF(Tx_2026_10[[#This Row],[DOP]]="","",Tx_2026_10[[#This Row],[DOP]]/$T$3)</f>
      </c>
      <c r="K41" s="53"/>
    </row>
    <row r="42" s="1" customFormat="1">
      <c r="B42" s="50">
        <v>46299</v>
      </c>
      <c r="C42" s="45" t="s">
        <v>91</v>
      </c>
      <c r="D42" s="52" t="s">
        <v>92</v>
      </c>
      <c r="E42" s="45" t="s">
        <v>38</v>
      </c>
      <c r="F42" s="52" t="s">
        <v>74</v>
      </c>
      <c r="G42" s="47">
        <v>900</v>
      </c>
      <c r="H42" s="46" t="s">
        <v>14</v>
      </c>
      <c r="I42" s="48">
        <f>IF(Tx_2026_10[[#This Row],[Monto]]="","",IF(Tx_2026_10[[#This Row],[Moneda]]="USD",Tx_2026_10[[#This Row],[Monto]]*$T$3,Tx_2026_10[[#This Row],[Monto]]))</f>
      </c>
      <c r="J42" s="49">
        <f>IF(Tx_2026_10[[#This Row],[DOP]]="","",Tx_2026_10[[#This Row],[DOP]]/$T$3)</f>
      </c>
      <c r="K42" s="53"/>
    </row>
    <row r="43" s="1" customFormat="1">
      <c r="B43" s="50">
        <v>46300</v>
      </c>
      <c r="C43" s="45" t="s">
        <v>93</v>
      </c>
      <c r="D43" s="52" t="s">
        <v>94</v>
      </c>
      <c r="E43" s="45" t="s">
        <v>40</v>
      </c>
      <c r="F43" s="52" t="s">
        <v>66</v>
      </c>
      <c r="G43" s="47">
        <v>1240</v>
      </c>
      <c r="H43" s="46" t="s">
        <v>14</v>
      </c>
      <c r="I43" s="48">
        <f>IF(Tx_2026_10[[#This Row],[Monto]]="","",IF(Tx_2026_10[[#This Row],[Moneda]]="USD",Tx_2026_10[[#This Row],[Monto]]*$T$3,Tx_2026_10[[#This Row],[Monto]]))</f>
      </c>
      <c r="J43" s="49">
        <f>IF(Tx_2026_10[[#This Row],[DOP]]="","",Tx_2026_10[[#This Row],[DOP]]/$T$3)</f>
      </c>
      <c r="K43" s="53"/>
    </row>
    <row r="44" s="1" customFormat="1">
      <c r="B44" s="50">
        <v>46301</v>
      </c>
      <c r="C44" s="45" t="s">
        <v>70</v>
      </c>
      <c r="D44" s="52" t="s">
        <v>90</v>
      </c>
      <c r="E44" s="45" t="s">
        <v>36</v>
      </c>
      <c r="F44" s="52" t="s">
        <v>66</v>
      </c>
      <c r="G44" s="47">
        <v>2000</v>
      </c>
      <c r="H44" s="46" t="s">
        <v>14</v>
      </c>
      <c r="I44" s="48">
        <f>IF(Tx_2026_10[[#This Row],[Monto]]="","",IF(Tx_2026_10[[#This Row],[Moneda]]="USD",Tx_2026_10[[#This Row],[Monto]]*$T$3,Tx_2026_10[[#This Row],[Monto]]))</f>
      </c>
      <c r="J44" s="49">
        <f>IF(Tx_2026_10[[#This Row],[DOP]]="","",Tx_2026_10[[#This Row],[DOP]]/$T$3)</f>
      </c>
      <c r="K44" s="53"/>
    </row>
    <row r="45" s="1" customFormat="1">
      <c r="B45" s="50">
        <v>46302</v>
      </c>
      <c r="C45" s="45" t="s">
        <v>101</v>
      </c>
      <c r="D45" s="52" t="s">
        <v>102</v>
      </c>
      <c r="E45" s="45" t="s">
        <v>32</v>
      </c>
      <c r="F45" s="52" t="s">
        <v>66</v>
      </c>
      <c r="G45" s="47">
        <v>385</v>
      </c>
      <c r="H45" s="46" t="s">
        <v>14</v>
      </c>
      <c r="I45" s="48">
        <f>IF(Tx_2026_10[[#This Row],[Monto]]="","",IF(Tx_2026_10[[#This Row],[Moneda]]="USD",Tx_2026_10[[#This Row],[Monto]]*$T$3,Tx_2026_10[[#This Row],[Monto]]))</f>
      </c>
      <c r="J45" s="49">
        <f>IF(Tx_2026_10[[#This Row],[DOP]]="","",Tx_2026_10[[#This Row],[DOP]]/$T$3)</f>
      </c>
      <c r="K45" s="53"/>
    </row>
    <row r="46" s="1" customFormat="1">
      <c r="B46" s="50"/>
      <c r="C46" s="45"/>
      <c r="D46" s="52"/>
      <c r="E46" s="45"/>
      <c r="F46" s="52"/>
      <c r="G46" s="47"/>
      <c r="H46" s="46"/>
      <c r="I46" s="48">
        <f>IF(Tx_2026_10[[#This Row],[Monto]]="","",IF(Tx_2026_10[[#This Row],[Moneda]]="USD",Tx_2026_10[[#This Row],[Monto]]*$T$3,Tx_2026_10[[#This Row],[Monto]]))</f>
      </c>
      <c r="J46" s="49">
        <f>IF(Tx_2026_10[[#This Row],[DOP]]="","",Tx_2026_10[[#This Row],[DOP]]/$T$3)</f>
      </c>
      <c r="K46" s="53"/>
    </row>
    <row r="47" s="1" customFormat="1">
      <c r="B47" s="50"/>
      <c r="C47" s="45"/>
      <c r="D47" s="52"/>
      <c r="E47" s="45"/>
      <c r="F47" s="52"/>
      <c r="G47" s="47"/>
      <c r="H47" s="46"/>
      <c r="I47" s="48">
        <f>IF(Tx_2026_10[[#This Row],[Monto]]="","",IF(Tx_2026_10[[#This Row],[Moneda]]="USD",Tx_2026_10[[#This Row],[Monto]]*$T$3,Tx_2026_10[[#This Row],[Monto]]))</f>
      </c>
      <c r="J47" s="49">
        <f>IF(Tx_2026_10[[#This Row],[DOP]]="","",Tx_2026_10[[#This Row],[DOP]]/$T$3)</f>
      </c>
      <c r="K47" s="53"/>
    </row>
    <row r="48" s="1" customFormat="1">
      <c r="B48" s="50"/>
      <c r="C48" s="45"/>
      <c r="D48" s="52"/>
      <c r="E48" s="45"/>
      <c r="F48" s="52"/>
      <c r="G48" s="47"/>
      <c r="H48" s="46"/>
      <c r="I48" s="48">
        <f>IF(Tx_2026_10[[#This Row],[Monto]]="","",IF(Tx_2026_10[[#This Row],[Moneda]]="USD",Tx_2026_10[[#This Row],[Monto]]*$T$3,Tx_2026_10[[#This Row],[Monto]]))</f>
      </c>
      <c r="J48" s="49">
        <f>IF(Tx_2026_10[[#This Row],[DOP]]="","",Tx_2026_10[[#This Row],[DOP]]/$T$3)</f>
      </c>
      <c r="K48" s="53"/>
    </row>
    <row r="49" s="1" customFormat="1">
      <c r="B49" s="50"/>
      <c r="C49" s="45"/>
      <c r="D49" s="52"/>
      <c r="E49" s="45"/>
      <c r="F49" s="52"/>
      <c r="G49" s="47"/>
      <c r="H49" s="46"/>
      <c r="I49" s="48">
        <f>IF(Tx_2026_10[[#This Row],[Monto]]="","",IF(Tx_2026_10[[#This Row],[Moneda]]="USD",Tx_2026_10[[#This Row],[Monto]]*$T$3,Tx_2026_10[[#This Row],[Monto]]))</f>
      </c>
      <c r="J49" s="49">
        <f>IF(Tx_2026_10[[#This Row],[DOP]]="","",Tx_2026_10[[#This Row],[DOP]]/$T$3)</f>
      </c>
      <c r="K49" s="53"/>
    </row>
    <row r="50" s="1" customFormat="1">
      <c r="B50" s="50"/>
      <c r="C50" s="45"/>
      <c r="D50" s="52"/>
      <c r="E50" s="45"/>
      <c r="F50" s="52"/>
      <c r="G50" s="47"/>
      <c r="H50" s="46"/>
      <c r="I50" s="48">
        <f>IF(Tx_2026_10[[#This Row],[Monto]]="","",IF(Tx_2026_10[[#This Row],[Moneda]]="USD",Tx_2026_10[[#This Row],[Monto]]*$T$3,Tx_2026_10[[#This Row],[Monto]]))</f>
      </c>
      <c r="J50" s="49">
        <f>IF(Tx_2026_10[[#This Row],[DOP]]="","",Tx_2026_10[[#This Row],[DOP]]/$T$3)</f>
      </c>
      <c r="K50" s="53"/>
    </row>
    <row r="51" s="1" customFormat="1">
      <c r="B51" s="50"/>
      <c r="C51" s="45"/>
      <c r="D51" s="52"/>
      <c r="E51" s="45"/>
      <c r="F51" s="52"/>
      <c r="G51" s="47"/>
      <c r="H51" s="46"/>
      <c r="I51" s="48">
        <f>IF(Tx_2026_10[[#This Row],[Monto]]="","",IF(Tx_2026_10[[#This Row],[Moneda]]="USD",Tx_2026_10[[#This Row],[Monto]]*$T$3,Tx_2026_10[[#This Row],[Monto]]))</f>
      </c>
      <c r="J51" s="49">
        <f>IF(Tx_2026_10[[#This Row],[DOP]]="","",Tx_2026_10[[#This Row],[DOP]]/$T$3)</f>
      </c>
      <c r="K51" s="53"/>
    </row>
    <row r="52" s="1" customFormat="1">
      <c r="B52" s="50"/>
      <c r="C52" s="45"/>
      <c r="D52" s="52"/>
      <c r="E52" s="45"/>
      <c r="F52" s="52"/>
      <c r="G52" s="47"/>
      <c r="H52" s="46"/>
      <c r="I52" s="48">
        <f>IF(Tx_2026_10[[#This Row],[Monto]]="","",IF(Tx_2026_10[[#This Row],[Moneda]]="USD",Tx_2026_10[[#This Row],[Monto]]*$T$3,Tx_2026_10[[#This Row],[Monto]]))</f>
      </c>
      <c r="J52" s="49">
        <f>IF(Tx_2026_10[[#This Row],[DOP]]="","",Tx_2026_10[[#This Row],[DOP]]/$T$3)</f>
      </c>
      <c r="K52" s="53"/>
    </row>
    <row r="53" s="1" customFormat="1">
      <c r="B53" s="50"/>
      <c r="C53" s="45"/>
      <c r="D53" s="52"/>
      <c r="E53" s="45"/>
      <c r="F53" s="52"/>
      <c r="G53" s="47"/>
      <c r="H53" s="46"/>
      <c r="I53" s="48">
        <f>IF(Tx_2026_10[[#This Row],[Monto]]="","",IF(Tx_2026_10[[#This Row],[Moneda]]="USD",Tx_2026_10[[#This Row],[Monto]]*$T$3,Tx_2026_10[[#This Row],[Monto]]))</f>
      </c>
      <c r="J53" s="49">
        <f>IF(Tx_2026_10[[#This Row],[DOP]]="","",Tx_2026_10[[#This Row],[DOP]]/$T$3)</f>
      </c>
      <c r="K53" s="53"/>
    </row>
    <row r="54" s="1" customFormat="1">
      <c r="B54" s="50"/>
      <c r="C54" s="45"/>
      <c r="D54" s="52"/>
      <c r="E54" s="45"/>
      <c r="F54" s="52"/>
      <c r="G54" s="47"/>
      <c r="H54" s="46"/>
      <c r="I54" s="48">
        <f>IF(Tx_2026_10[[#This Row],[Monto]]="","",IF(Tx_2026_10[[#This Row],[Moneda]]="USD",Tx_2026_10[[#This Row],[Monto]]*$T$3,Tx_2026_10[[#This Row],[Monto]]))</f>
      </c>
      <c r="J54" s="49">
        <f>IF(Tx_2026_10[[#This Row],[DOP]]="","",Tx_2026_10[[#This Row],[DOP]]/$T$3)</f>
      </c>
      <c r="K54" s="53"/>
    </row>
    <row r="55" s="1" customFormat="1">
      <c r="B55" s="50"/>
      <c r="C55" s="45"/>
      <c r="D55" s="52"/>
      <c r="E55" s="45"/>
      <c r="F55" s="52"/>
      <c r="G55" s="47"/>
      <c r="H55" s="46"/>
      <c r="I55" s="48">
        <f>IF(Tx_2026_10[[#This Row],[Monto]]="","",IF(Tx_2026_10[[#This Row],[Moneda]]="USD",Tx_2026_10[[#This Row],[Monto]]*$T$3,Tx_2026_10[[#This Row],[Monto]]))</f>
      </c>
      <c r="J55" s="49">
        <f>IF(Tx_2026_10[[#This Row],[DOP]]="","",Tx_2026_10[[#This Row],[DOP]]/$T$3)</f>
      </c>
      <c r="K55" s="53"/>
    </row>
    <row r="56" s="1" customFormat="1">
      <c r="B56" s="50"/>
      <c r="C56" s="45"/>
      <c r="D56" s="52"/>
      <c r="E56" s="45"/>
      <c r="F56" s="52"/>
      <c r="G56" s="47"/>
      <c r="H56" s="46"/>
      <c r="I56" s="48">
        <f>IF(Tx_2026_10[[#This Row],[Monto]]="","",IF(Tx_2026_10[[#This Row],[Moneda]]="USD",Tx_2026_10[[#This Row],[Monto]]*$T$3,Tx_2026_10[[#This Row],[Monto]]))</f>
      </c>
      <c r="J56" s="49">
        <f>IF(Tx_2026_10[[#This Row],[DOP]]="","",Tx_2026_10[[#This Row],[DOP]]/$T$3)</f>
      </c>
      <c r="K56" s="53"/>
    </row>
    <row r="57" s="1" customFormat="1">
      <c r="B57" s="50"/>
      <c r="C57" s="45"/>
      <c r="D57" s="52"/>
      <c r="E57" s="45"/>
      <c r="F57" s="52"/>
      <c r="G57" s="47"/>
      <c r="H57" s="46"/>
      <c r="I57" s="48">
        <f>IF(Tx_2026_10[[#This Row],[Monto]]="","",IF(Tx_2026_10[[#This Row],[Moneda]]="USD",Tx_2026_10[[#This Row],[Monto]]*$T$3,Tx_2026_10[[#This Row],[Monto]]))</f>
      </c>
      <c r="J57" s="49">
        <f>IF(Tx_2026_10[[#This Row],[DOP]]="","",Tx_2026_10[[#This Row],[DOP]]/$T$3)</f>
      </c>
      <c r="K57" s="53"/>
    </row>
  </sheetData>
  <mergeCells count="38">
    <mergeCell ref="N1:Q1"/>
    <mergeCell ref="B5:D5"/>
    <mergeCell ref="B6:D6"/>
    <mergeCell ref="C11:D11"/>
    <mergeCell ref="G6:H6"/>
    <mergeCell ref="G8:H8"/>
    <mergeCell ref="G9:H9"/>
    <mergeCell ref="G10:H10"/>
    <mergeCell ref="O6:Q6"/>
    <mergeCell ref="O8:Q8"/>
    <mergeCell ref="O9:Q9"/>
    <mergeCell ref="O10:Q10"/>
    <mergeCell ref="O11:Q11"/>
    <mergeCell ref="H14:K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O28:Q28"/>
    <mergeCell ref="H37:K37"/>
  </mergeCells>
  <conditionalFormatting sqref="C11">
    <cfRule type="cellIs" dxfId="0" priority="1" operator="lessThan">
      <formula>0</formula>
    </cfRule>
  </conditionalFormatting>
  <conditionalFormatting sqref="O9:O10">
    <cfRule type="cellIs" dxfId="0" priority="2" operator="lessThan">
      <formula>0</formula>
    </cfRule>
  </conditionalFormatting>
  <conditionalFormatting sqref="B16:B30">
    <cfRule type="cellIs" dxfId="1" priority="3" operator="equal">
      <formula>"Sí"</formula>
    </cfRule>
    <cfRule type="cellIs" dxfId="2" priority="4" operator="equal">
      <formula>"No"</formula>
    </cfRule>
  </conditionalFormatting>
  <conditionalFormatting sqref="O15:P15">
    <cfRule type="dataBar" priority="5">
      <dataBar showValue="0">
        <cfvo type="num" val="0"/>
        <cfvo type="formula" val="MAX($Q$15:$Q$25)"/>
        <color rgb="FF2B3A33"/>
      </dataBar>
    </cfRule>
  </conditionalFormatting>
  <conditionalFormatting sqref="O16:P25">
    <cfRule type="dataBar" priority="6">
      <dataBar showValue="0">
        <cfvo type="num" val="0"/>
        <cfvo type="formula" val="MAX($Q$15:$Q$25)"/>
        <color rgb="FF2F7D52"/>
      </dataBar>
    </cfRule>
  </conditionalFormatting>
  <dataValidations count="6">
    <dataValidation type="list" allowBlank="1" showErrorMessage="1" sqref="B16:B30">
      <formula1>"Sí,No"</formula1>
    </dataValidation>
    <dataValidation type="list" allowBlank="1" showErrorMessage="1" sqref="F16:F30">
      <formula1>"DOP,USD"</formula1>
    </dataValidation>
    <dataValidation type="list" allowBlank="1" showErrorMessage="1" sqref="N30:N34">
      <formula1>"Remitly,PayPal"</formula1>
    </dataValidation>
    <dataValidation type="list" allowBlank="1" showErrorMessage="1" sqref="E39:E3000">
      <formula1>Config!$E$4:$E$13</formula1>
    </dataValidation>
    <dataValidation type="list" allowBlank="1" showErrorMessage="1" sqref="F39:F3000">
      <formula1>Config!$F$4:$F$6</formula1>
    </dataValidation>
    <dataValidation type="list" allowBlank="1" showErrorMessage="1" sqref="H39:H3000">
      <formula1>"DOP,USD"</formula1>
    </dataValidation>
  </dataValidations>
  <pageMargins left="0.5" right="0.5" top="0.5" bottom="0.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D1F1C"/>
  </sheetPr>
  <sheetViews>
    <sheetView workbookViewId="0" showGridLines="0" zoomScale="100"/>
  </sheetViews>
  <sheetFormatPr defaultRowHeight="20" customHeight="1"/>
  <cols>
    <col min="1" max="1" width="2" style="1" customWidth="1"/>
    <col min="2" max="2" width="17" style="1" customWidth="1"/>
    <col min="3" max="3" width="13" style="1" customWidth="1"/>
    <col min="4" max="4" width="9" style="1" customWidth="1"/>
    <col min="5" max="5" width="14" style="1" customWidth="1"/>
    <col min="6" max="6" width="13" style="1" customWidth="1"/>
    <col min="7" max="7" width="9" style="1" customWidth="1"/>
    <col min="8" max="8" width="3" style="1" customWidth="1"/>
    <col min="9" max="9" width="12" style="1" customWidth="1"/>
    <col min="10" max="10" width="16" style="1" customWidth="1"/>
    <col min="11" max="11" width="19" style="1" customWidth="1"/>
    <col min="12" max="12" width="11" style="1" customWidth="1"/>
    <col min="13" max="13" width="8" style="1" customWidth="1"/>
    <col min="14" max="14" width="11" style="1" customWidth="1"/>
    <col min="15" max="15" width="12" style="1" customWidth="1"/>
    <col min="16" max="16" width="2" style="1" customWidth="1"/>
    <col min="17" max="17" width="2" style="1" customWidth="1"/>
    <col min="18" max="18" width="14" style="1" customWidth="1" hidden="1"/>
    <col min="19" max="60" width="9" style="1"/>
  </cols>
  <sheetData>
    <row r="1" s="1" customFormat="1" ht="26" customHeight="1">
      <c r="A1" s="2"/>
      <c r="B1" s="3" t="s">
        <v>0</v>
      </c>
      <c r="C1" s="2"/>
      <c r="D1" s="4" t="s">
        <v>103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="1" customFormat="1" ht="8" customHeight="1">
      <c r="R2" s="8" t="s">
        <v>4</v>
      </c>
    </row>
    <row r="3" s="1" customFormat="1" ht="16" customHeight="1">
      <c r="B3" s="9" t="s">
        <v>104</v>
      </c>
      <c r="C3" s="13" t="s">
        <v>105</v>
      </c>
      <c r="D3" s="10"/>
      <c r="E3" s="10"/>
      <c r="F3" s="13" t="s">
        <v>106</v>
      </c>
      <c r="G3" s="10"/>
      <c r="H3" s="10"/>
      <c r="I3" s="13" t="s">
        <v>107</v>
      </c>
      <c r="J3" s="10"/>
      <c r="K3" s="13" t="s">
        <v>108</v>
      </c>
      <c r="L3" s="10"/>
      <c r="M3" s="10"/>
      <c r="N3" s="13" t="s">
        <v>109</v>
      </c>
      <c r="O3" s="11"/>
      <c r="R3" s="0">
        <f>IFERROR(INDIRECT("'"&amp;Config!$C$5&amp;"'!T3"),Config!$C$4)</f>
      </c>
    </row>
    <row r="4" s="1" customFormat="1" ht="24" customHeight="1">
      <c r="B4" s="54">
        <f>Config!$C$5</f>
      </c>
      <c r="C4" s="55">
        <f>IFERROR(INDIRECT("'"&amp;Config!$C$5&amp;"'!B5"),"")</f>
      </c>
      <c r="D4" s="35"/>
      <c r="E4" s="35"/>
      <c r="F4" s="56">
        <f>IFERROR(INDIRECT("'"&amp;Config!$C$5&amp;"'!O6"),"")</f>
      </c>
      <c r="G4" s="35"/>
      <c r="H4" s="35"/>
      <c r="I4" s="56">
        <f>IFERROR(INDIRECT("'"&amp;Config!$C$5&amp;"'!T8"),"")</f>
      </c>
      <c r="J4" s="35"/>
      <c r="K4" s="57">
        <f>IFERROR(INDIRECT("'"&amp;Config!$C$5&amp;"'!O9"),"")</f>
      </c>
      <c r="L4" s="35"/>
      <c r="M4" s="35"/>
      <c r="N4" s="58">
        <f>IFERROR(INDIRECT("'"&amp;Config!$C$5&amp;"'!T3"),Config!$C$4)</f>
      </c>
      <c r="O4" s="36"/>
      <c r="R4" s="0">
        <f>J12*((YEAR(N12)-YEAR(L12))*12+MONTH(N12)-MONTH(L12)+1)</f>
      </c>
    </row>
    <row r="5" s="1" customFormat="1" ht="10" customHeight="1">
      <c r="R5" s="0">
        <f>SUMIFS(Aportes[USD],Aportes[Meta],"Viaje a Turquía")</f>
      </c>
    </row>
    <row r="6" s="1" customFormat="1" ht="24" customHeight="1">
      <c r="B6" s="37" t="s">
        <v>110</v>
      </c>
      <c r="C6" s="10"/>
      <c r="D6" s="11"/>
      <c r="E6" s="37" t="s">
        <v>111</v>
      </c>
      <c r="F6" s="10"/>
      <c r="G6" s="11"/>
      <c r="I6" s="37" t="s">
        <v>112</v>
      </c>
      <c r="J6" s="10"/>
      <c r="K6" s="10"/>
      <c r="L6" s="38">
        <f>FIXED(J12,0)&amp;" USD / mes"</f>
      </c>
      <c r="M6" s="10"/>
      <c r="N6" s="10"/>
      <c r="O6" s="11"/>
      <c r="R6" s="0">
        <f>MAX(1,(YEAR(N12)-YEAR(TODAY()))*12+MONTH(N12)-MONTH(TODAY())+1-IF(COUNTIFS(Aportes[Meta],"Viaje a Turquía",Aportes[Mes],Config!$C$5)&gt;0,1,0))</f>
      </c>
    </row>
    <row r="7" s="1" customFormat="1" ht="16" customHeight="1">
      <c r="B7" s="59" t="s">
        <v>113</v>
      </c>
      <c r="C7" s="15"/>
      <c r="D7" s="16"/>
      <c r="E7" s="59" t="s">
        <v>113</v>
      </c>
      <c r="F7" s="15"/>
      <c r="G7" s="16"/>
      <c r="I7" s="59">
        <f>"Faltan "&amp;$R$6&amp;" aportes · "&amp;FIXED($R$7,0)&amp;" USD por mes para llegar"</f>
      </c>
      <c r="J7" s="15"/>
      <c r="K7" s="15"/>
      <c r="L7" s="15"/>
      <c r="M7" s="15"/>
      <c r="N7" s="15"/>
      <c r="O7" s="16"/>
      <c r="R7" s="0">
        <f>MAX(0,R4-R5)/R6</f>
      </c>
    </row>
    <row r="8" s="1" customFormat="1" ht="28" customHeight="1">
      <c r="B8" s="60">
        <f>SUMIFS(Aportes[USD],Aportes[Meta],"Fondo de emergencia")</f>
      </c>
      <c r="C8" s="15"/>
      <c r="D8" s="16"/>
      <c r="E8" s="60">
        <f>SUMIFS(Aportes[USD],Aportes[Meta],"Ahorro personal")</f>
      </c>
      <c r="F8" s="15"/>
      <c r="G8" s="16"/>
      <c r="I8" s="60">
        <f>$R$5</f>
      </c>
      <c r="J8" s="15"/>
      <c r="K8" s="15"/>
      <c r="L8" s="61">
        <f>$R$5*$R$3</f>
      </c>
      <c r="M8" s="15"/>
      <c r="N8" s="15"/>
      <c r="O8" s="16"/>
      <c r="R8" s="0">
        <f>IF(R4=0,0,R5/R4)</f>
      </c>
    </row>
    <row r="9" s="1" customFormat="1" ht="16" customHeight="1">
      <c r="B9" s="62">
        <f>B8*$R$3</f>
      </c>
      <c r="C9" s="15"/>
      <c r="D9" s="16"/>
      <c r="E9" s="62">
        <f>E8*$R$3</f>
      </c>
      <c r="F9" s="15"/>
      <c r="G9" s="16"/>
      <c r="I9" s="17"/>
      <c r="J9" s="15"/>
      <c r="K9" s="15"/>
      <c r="L9" s="15"/>
      <c r="M9" s="15"/>
      <c r="N9" s="15"/>
      <c r="O9" s="16"/>
    </row>
    <row r="10" s="1" customFormat="1" ht="14" customHeight="1">
      <c r="B10" s="17"/>
      <c r="C10" s="15"/>
      <c r="D10" s="16"/>
      <c r="E10" s="17"/>
      <c r="F10" s="15"/>
      <c r="G10" s="16"/>
      <c r="I10" s="63">
        <f>$R$8</f>
      </c>
      <c r="J10" s="15"/>
      <c r="K10" s="15"/>
      <c r="L10" s="15"/>
      <c r="M10" s="15"/>
      <c r="N10" s="15"/>
      <c r="O10" s="16"/>
    </row>
    <row r="11" s="1" customFormat="1" ht="20" customHeight="1">
      <c r="B11" s="59">
        <f>COUNTIFS(Aportes[Meta],"Fondo de emergencia")&amp;" aportes registrados"</f>
      </c>
      <c r="C11" s="15"/>
      <c r="D11" s="16"/>
      <c r="E11" s="59">
        <f>COUNTIFS(Aportes[Meta],"Ahorro personal")&amp;" aportes registrados"</f>
      </c>
      <c r="F11" s="15"/>
      <c r="G11" s="16"/>
      <c r="I11" s="64">
        <f>FIXED(100*$R$8,0)&amp;"% de "&amp;FIXED($R$4,0)&amp;" USD"</f>
      </c>
      <c r="J11" s="15"/>
      <c r="K11" s="15"/>
      <c r="L11" s="65">
        <f>"Meta: "&amp;LOWER(CHOOSE(MONTH(N12),"Enero","Febrero","Marzo","Abril","Mayo","Junio","Julio","Agosto","Septiembre","Octubre","Noviembre","Diciembre"))&amp;" "&amp;YEAR(N12)</f>
      </c>
      <c r="M11" s="15"/>
      <c r="N11" s="15"/>
      <c r="O11" s="16"/>
    </row>
    <row r="12" s="1" customFormat="1" ht="24" customHeight="1">
      <c r="B12" s="34"/>
      <c r="C12" s="35"/>
      <c r="D12" s="36"/>
      <c r="E12" s="34"/>
      <c r="F12" s="35"/>
      <c r="G12" s="36"/>
      <c r="I12" s="66" t="s">
        <v>114</v>
      </c>
      <c r="J12" s="67">
        <v>3000</v>
      </c>
      <c r="K12" s="68" t="s">
        <v>115</v>
      </c>
      <c r="L12" s="69">
        <v>46235</v>
      </c>
      <c r="M12" s="68" t="s">
        <v>116</v>
      </c>
      <c r="N12" s="69">
        <v>46661</v>
      </c>
      <c r="O12" s="36"/>
    </row>
    <row r="13" s="1" customFormat="1" ht="10" customHeight="1"/>
    <row r="14" s="1" customFormat="1" ht="26" customHeight="1">
      <c r="B14" s="37" t="s">
        <v>117</v>
      </c>
      <c r="C14" s="10"/>
      <c r="D14" s="10"/>
      <c r="E14" s="10"/>
      <c r="F14" s="10"/>
      <c r="G14" s="11"/>
      <c r="I14" s="37" t="s">
        <v>118</v>
      </c>
      <c r="J14" s="10"/>
      <c r="K14" s="10"/>
      <c r="L14" s="38">
        <f>"Total "&amp;FIXED(SUM(Aportes[USD]),2)&amp;" USD"</f>
      </c>
      <c r="M14" s="10"/>
      <c r="N14" s="10"/>
      <c r="O14" s="11"/>
    </row>
    <row r="15" s="1" customFormat="1">
      <c r="B15" s="40" t="s">
        <v>119</v>
      </c>
      <c r="C15" s="42" t="s">
        <v>120</v>
      </c>
      <c r="D15" s="42" t="s">
        <v>55</v>
      </c>
      <c r="E15" s="42" t="s">
        <v>121</v>
      </c>
      <c r="F15" s="42" t="s">
        <v>122</v>
      </c>
      <c r="G15" s="42" t="s">
        <v>123</v>
      </c>
      <c r="I15" s="40" t="s">
        <v>53</v>
      </c>
      <c r="J15" s="41" t="s">
        <v>119</v>
      </c>
      <c r="K15" s="41" t="s">
        <v>124</v>
      </c>
      <c r="L15" s="42" t="s">
        <v>27</v>
      </c>
      <c r="M15" s="41" t="s">
        <v>28</v>
      </c>
      <c r="N15" s="42" t="s">
        <v>10</v>
      </c>
      <c r="O15" s="42" t="s">
        <v>14</v>
      </c>
    </row>
    <row r="16" s="1" customFormat="1">
      <c r="B16" s="70" t="s">
        <v>1</v>
      </c>
      <c r="C16" s="47">
        <f>IFERROR(INDIRECT("'"&amp;B16&amp;"'!C10"),"")</f>
      </c>
      <c r="D16" s="71">
        <f>IFERROR(INDIRECT("'"&amp;B16&amp;"'!T3"),"")</f>
      </c>
      <c r="E16" s="47">
        <f>IF(C16="","",C16*D16)</f>
      </c>
      <c r="F16" s="47">
        <f>IF(C16="","",SUMIFS(Aportes[USD],Aportes[Mes],B16))</f>
      </c>
      <c r="G16" s="72">
        <f>IF(OR(C16="",C16=0),"",F16/C16)</f>
      </c>
      <c r="I16" s="50">
        <v>46237</v>
      </c>
      <c r="J16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16" s="45" t="s">
        <v>112</v>
      </c>
      <c r="L16" s="47">
        <v>3000</v>
      </c>
      <c r="M16" s="46" t="s">
        <v>10</v>
      </c>
      <c r="N16" s="48">
        <f>IF(Aportes[[#This Row],[Monto]]="","",IF(Aportes[[#This Row],[Moneda]]="USD",Aportes[[#This Row],[Monto]],Aportes[[#This Row],[Monto]]/IFERROR(INDIRECT("'"&amp;Aportes[[#This Row],[Mes]]&amp;"'!T3"),Config!$C$4)))</f>
      </c>
      <c r="O16" s="49">
        <f>IF(Aportes[[#This Row],[USD]]="","",Aportes[[#This Row],[USD]]*IFERROR(INDIRECT("'"&amp;Aportes[[#This Row],[Mes]]&amp;"'!T3"),Config!$C$4))</f>
      </c>
    </row>
    <row r="17" s="1" customFormat="1">
      <c r="B17" s="70" t="s">
        <v>85</v>
      </c>
      <c r="C17" s="47">
        <f>IFERROR(INDIRECT("'"&amp;B17&amp;"'!C10"),"")</f>
      </c>
      <c r="D17" s="71">
        <f>IFERROR(INDIRECT("'"&amp;B17&amp;"'!T3"),"")</f>
      </c>
      <c r="E17" s="47">
        <f>IF(C17="","",C17*D17)</f>
      </c>
      <c r="F17" s="47">
        <f>IF(C17="","",SUMIFS(Aportes[USD],Aportes[Mes],B17))</f>
      </c>
      <c r="G17" s="72">
        <f>IF(OR(C17="",C17=0),"",F17/C17)</f>
      </c>
      <c r="I17" s="50">
        <v>46237</v>
      </c>
      <c r="J17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17" s="45" t="s">
        <v>110</v>
      </c>
      <c r="L17" s="47">
        <v>400</v>
      </c>
      <c r="M17" s="46" t="s">
        <v>10</v>
      </c>
      <c r="N17" s="48">
        <f>IF(Aportes[[#This Row],[Monto]]="","",IF(Aportes[[#This Row],[Moneda]]="USD",Aportes[[#This Row],[Monto]],Aportes[[#This Row],[Monto]]/IFERROR(INDIRECT("'"&amp;Aportes[[#This Row],[Mes]]&amp;"'!T3"),Config!$C$4)))</f>
      </c>
      <c r="O17" s="49">
        <f>IF(Aportes[[#This Row],[USD]]="","",Aportes[[#This Row],[USD]]*IFERROR(INDIRECT("'"&amp;Aportes[[#This Row],[Mes]]&amp;"'!T3"),Config!$C$4))</f>
      </c>
    </row>
    <row r="18" s="1" customFormat="1">
      <c r="B18" s="70" t="s">
        <v>98</v>
      </c>
      <c r="C18" s="47">
        <f>IFERROR(INDIRECT("'"&amp;B18&amp;"'!C10"),"")</f>
      </c>
      <c r="D18" s="71">
        <f>IFERROR(INDIRECT("'"&amp;B18&amp;"'!T3"),"")</f>
      </c>
      <c r="E18" s="47">
        <f>IF(C18="","",C18*D18)</f>
      </c>
      <c r="F18" s="47">
        <f>IF(C18="","",SUMIFS(Aportes[USD],Aportes[Mes],B18))</f>
      </c>
      <c r="G18" s="72">
        <f>IF(OR(C18="",C18=0),"",F18/C18)</f>
      </c>
      <c r="I18" s="50">
        <v>46254</v>
      </c>
      <c r="J18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18" s="45" t="s">
        <v>111</v>
      </c>
      <c r="L18" s="47">
        <v>250</v>
      </c>
      <c r="M18" s="46" t="s">
        <v>10</v>
      </c>
      <c r="N18" s="48">
        <f>IF(Aportes[[#This Row],[Monto]]="","",IF(Aportes[[#This Row],[Moneda]]="USD",Aportes[[#This Row],[Monto]],Aportes[[#This Row],[Monto]]/IFERROR(INDIRECT("'"&amp;Aportes[[#This Row],[Mes]]&amp;"'!T3"),Config!$C$4)))</f>
      </c>
      <c r="O18" s="49">
        <f>IF(Aportes[[#This Row],[USD]]="","",Aportes[[#This Row],[USD]]*IFERROR(INDIRECT("'"&amp;Aportes[[#This Row],[Mes]]&amp;"'!T3"),Config!$C$4))</f>
      </c>
    </row>
    <row r="19" s="1" customFormat="1">
      <c r="B19" s="70" t="s">
        <v>125</v>
      </c>
      <c r="C19" s="47">
        <f>IFERROR(INDIRECT("'"&amp;B19&amp;"'!C10"),"")</f>
      </c>
      <c r="D19" s="71">
        <f>IFERROR(INDIRECT("'"&amp;B19&amp;"'!T3"),"")</f>
      </c>
      <c r="E19" s="47">
        <f>IF(C19="","",C19*D19)</f>
      </c>
      <c r="F19" s="47">
        <f>IF(C19="","",SUMIFS(Aportes[USD],Aportes[Mes],B19))</f>
      </c>
      <c r="G19" s="72">
        <f>IF(OR(C19="",C19=0),"",F19/C19)</f>
      </c>
      <c r="I19" s="50">
        <v>46267</v>
      </c>
      <c r="J19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19" s="45" t="s">
        <v>112</v>
      </c>
      <c r="L19" s="47">
        <v>3000</v>
      </c>
      <c r="M19" s="46" t="s">
        <v>10</v>
      </c>
      <c r="N19" s="48">
        <f>IF(Aportes[[#This Row],[Monto]]="","",IF(Aportes[[#This Row],[Moneda]]="USD",Aportes[[#This Row],[Monto]],Aportes[[#This Row],[Monto]]/IFERROR(INDIRECT("'"&amp;Aportes[[#This Row],[Mes]]&amp;"'!T3"),Config!$C$4)))</f>
      </c>
      <c r="O19" s="49">
        <f>IF(Aportes[[#This Row],[USD]]="","",Aportes[[#This Row],[USD]]*IFERROR(INDIRECT("'"&amp;Aportes[[#This Row],[Mes]]&amp;"'!T3"),Config!$C$4))</f>
      </c>
    </row>
    <row r="20" s="1" customFormat="1">
      <c r="B20" s="70" t="s">
        <v>126</v>
      </c>
      <c r="C20" s="47">
        <f>IFERROR(INDIRECT("'"&amp;B20&amp;"'!C10"),"")</f>
      </c>
      <c r="D20" s="71">
        <f>IFERROR(INDIRECT("'"&amp;B20&amp;"'!T3"),"")</f>
      </c>
      <c r="E20" s="47">
        <f>IF(C20="","",C20*D20)</f>
      </c>
      <c r="F20" s="47">
        <f>IF(C20="","",SUMIFS(Aportes[USD],Aportes[Mes],B20))</f>
      </c>
      <c r="G20" s="72">
        <f>IF(OR(C20="",C20=0),"",F20/C20)</f>
      </c>
      <c r="I20" s="50">
        <v>46267</v>
      </c>
      <c r="J20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20" s="45" t="s">
        <v>110</v>
      </c>
      <c r="L20" s="47">
        <v>300</v>
      </c>
      <c r="M20" s="46" t="s">
        <v>10</v>
      </c>
      <c r="N20" s="48">
        <f>IF(Aportes[[#This Row],[Monto]]="","",IF(Aportes[[#This Row],[Moneda]]="USD",Aportes[[#This Row],[Monto]],Aportes[[#This Row],[Monto]]/IFERROR(INDIRECT("'"&amp;Aportes[[#This Row],[Mes]]&amp;"'!T3"),Config!$C$4)))</f>
      </c>
      <c r="O20" s="49">
        <f>IF(Aportes[[#This Row],[USD]]="","",Aportes[[#This Row],[USD]]*IFERROR(INDIRECT("'"&amp;Aportes[[#This Row],[Mes]]&amp;"'!T3"),Config!$C$4))</f>
      </c>
    </row>
    <row r="21" s="1" customFormat="1">
      <c r="B21" s="70" t="s">
        <v>127</v>
      </c>
      <c r="C21" s="47">
        <f>IFERROR(INDIRECT("'"&amp;B21&amp;"'!C10"),"")</f>
      </c>
      <c r="D21" s="71">
        <f>IFERROR(INDIRECT("'"&amp;B21&amp;"'!T3"),"")</f>
      </c>
      <c r="E21" s="47">
        <f>IF(C21="","",C21*D21)</f>
      </c>
      <c r="F21" s="47">
        <f>IF(C21="","",SUMIFS(Aportes[USD],Aportes[Mes],B21))</f>
      </c>
      <c r="G21" s="72">
        <f>IF(OR(C21="",C21=0),"",F21/C21)</f>
      </c>
      <c r="I21" s="50">
        <v>46283</v>
      </c>
      <c r="J21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21" s="45" t="s">
        <v>111</v>
      </c>
      <c r="L21" s="47">
        <v>200</v>
      </c>
      <c r="M21" s="46" t="s">
        <v>10</v>
      </c>
      <c r="N21" s="48">
        <f>IF(Aportes[[#This Row],[Monto]]="","",IF(Aportes[[#This Row],[Moneda]]="USD",Aportes[[#This Row],[Monto]],Aportes[[#This Row],[Monto]]/IFERROR(INDIRECT("'"&amp;Aportes[[#This Row],[Mes]]&amp;"'!T3"),Config!$C$4)))</f>
      </c>
      <c r="O21" s="49">
        <f>IF(Aportes[[#This Row],[USD]]="","",Aportes[[#This Row],[USD]]*IFERROR(INDIRECT("'"&amp;Aportes[[#This Row],[Mes]]&amp;"'!T3"),Config!$C$4))</f>
      </c>
    </row>
    <row r="22" s="1" customFormat="1">
      <c r="B22" s="70" t="s">
        <v>128</v>
      </c>
      <c r="C22" s="47">
        <f>IFERROR(INDIRECT("'"&amp;B22&amp;"'!C10"),"")</f>
      </c>
      <c r="D22" s="71">
        <f>IFERROR(INDIRECT("'"&amp;B22&amp;"'!T3"),"")</f>
      </c>
      <c r="E22" s="47">
        <f>IF(C22="","",C22*D22)</f>
      </c>
      <c r="F22" s="47">
        <f>IF(C22="","",SUMIFS(Aportes[USD],Aportes[Mes],B22))</f>
      </c>
      <c r="G22" s="72">
        <f>IF(OR(C22="",C22=0),"",F22/C22)</f>
      </c>
      <c r="I22" s="50">
        <v>46298</v>
      </c>
      <c r="J22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22" s="45" t="s">
        <v>112</v>
      </c>
      <c r="L22" s="47">
        <v>3000</v>
      </c>
      <c r="M22" s="46" t="s">
        <v>10</v>
      </c>
      <c r="N22" s="48">
        <f>IF(Aportes[[#This Row],[Monto]]="","",IF(Aportes[[#This Row],[Moneda]]="USD",Aportes[[#This Row],[Monto]],Aportes[[#This Row],[Monto]]/IFERROR(INDIRECT("'"&amp;Aportes[[#This Row],[Mes]]&amp;"'!T3"),Config!$C$4)))</f>
      </c>
      <c r="O22" s="49">
        <f>IF(Aportes[[#This Row],[USD]]="","",Aportes[[#This Row],[USD]]*IFERROR(INDIRECT("'"&amp;Aportes[[#This Row],[Mes]]&amp;"'!T3"),Config!$C$4))</f>
      </c>
    </row>
    <row r="23" s="1" customFormat="1">
      <c r="B23" s="70" t="s">
        <v>129</v>
      </c>
      <c r="C23" s="47">
        <f>IFERROR(INDIRECT("'"&amp;B23&amp;"'!C10"),"")</f>
      </c>
      <c r="D23" s="71">
        <f>IFERROR(INDIRECT("'"&amp;B23&amp;"'!T3"),"")</f>
      </c>
      <c r="E23" s="47">
        <f>IF(C23="","",C23*D23)</f>
      </c>
      <c r="F23" s="47">
        <f>IF(C23="","",SUMIFS(Aportes[USD],Aportes[Mes],B23))</f>
      </c>
      <c r="G23" s="72">
        <f>IF(OR(C23="",C23=0),"",F23/C23)</f>
      </c>
      <c r="I23" s="50">
        <v>46298</v>
      </c>
      <c r="J23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23" s="45" t="s">
        <v>110</v>
      </c>
      <c r="L23" s="47">
        <v>500</v>
      </c>
      <c r="M23" s="46" t="s">
        <v>10</v>
      </c>
      <c r="N23" s="48">
        <f>IF(Aportes[[#This Row],[Monto]]="","",IF(Aportes[[#This Row],[Moneda]]="USD",Aportes[[#This Row],[Monto]],Aportes[[#This Row],[Monto]]/IFERROR(INDIRECT("'"&amp;Aportes[[#This Row],[Mes]]&amp;"'!T3"),Config!$C$4)))</f>
      </c>
      <c r="O23" s="49">
        <f>IF(Aportes[[#This Row],[USD]]="","",Aportes[[#This Row],[USD]]*IFERROR(INDIRECT("'"&amp;Aportes[[#This Row],[Mes]]&amp;"'!T3"),Config!$C$4))</f>
      </c>
    </row>
    <row r="24" s="1" customFormat="1">
      <c r="B24" s="70" t="s">
        <v>130</v>
      </c>
      <c r="C24" s="47">
        <f>IFERROR(INDIRECT("'"&amp;B24&amp;"'!C10"),"")</f>
      </c>
      <c r="D24" s="71">
        <f>IFERROR(INDIRECT("'"&amp;B24&amp;"'!T3"),"")</f>
      </c>
      <c r="E24" s="47">
        <f>IF(C24="","",C24*D24)</f>
      </c>
      <c r="F24" s="47">
        <f>IF(C24="","",SUMIFS(Aportes[USD],Aportes[Mes],B24))</f>
      </c>
      <c r="G24" s="72">
        <f>IF(OR(C24="",C24=0),"",F24/C24)</f>
      </c>
      <c r="I24" s="50"/>
      <c r="J24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24" s="45"/>
      <c r="L24" s="47"/>
      <c r="M24" s="46"/>
      <c r="N24" s="48">
        <f>IF(Aportes[[#This Row],[Monto]]="","",IF(Aportes[[#This Row],[Moneda]]="USD",Aportes[[#This Row],[Monto]],Aportes[[#This Row],[Monto]]/IFERROR(INDIRECT("'"&amp;Aportes[[#This Row],[Mes]]&amp;"'!T3"),Config!$C$4)))</f>
      </c>
      <c r="O24" s="49">
        <f>IF(Aportes[[#This Row],[USD]]="","",Aportes[[#This Row],[USD]]*IFERROR(INDIRECT("'"&amp;Aportes[[#This Row],[Mes]]&amp;"'!T3"),Config!$C$4))</f>
      </c>
    </row>
    <row r="25" s="1" customFormat="1">
      <c r="B25" s="70" t="s">
        <v>131</v>
      </c>
      <c r="C25" s="47">
        <f>IFERROR(INDIRECT("'"&amp;B25&amp;"'!C10"),"")</f>
      </c>
      <c r="D25" s="71">
        <f>IFERROR(INDIRECT("'"&amp;B25&amp;"'!T3"),"")</f>
      </c>
      <c r="E25" s="47">
        <f>IF(C25="","",C25*D25)</f>
      </c>
      <c r="F25" s="47">
        <f>IF(C25="","",SUMIFS(Aportes[USD],Aportes[Mes],B25))</f>
      </c>
      <c r="G25" s="72">
        <f>IF(OR(C25="",C25=0),"",F25/C25)</f>
      </c>
      <c r="I25" s="50"/>
      <c r="J25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25" s="45"/>
      <c r="L25" s="47"/>
      <c r="M25" s="46"/>
      <c r="N25" s="48">
        <f>IF(Aportes[[#This Row],[Monto]]="","",IF(Aportes[[#This Row],[Moneda]]="USD",Aportes[[#This Row],[Monto]],Aportes[[#This Row],[Monto]]/IFERROR(INDIRECT("'"&amp;Aportes[[#This Row],[Mes]]&amp;"'!T3"),Config!$C$4)))</f>
      </c>
      <c r="O25" s="49">
        <f>IF(Aportes[[#This Row],[USD]]="","",Aportes[[#This Row],[USD]]*IFERROR(INDIRECT("'"&amp;Aportes[[#This Row],[Mes]]&amp;"'!T3"),Config!$C$4))</f>
      </c>
    </row>
    <row r="26" s="1" customFormat="1">
      <c r="B26" s="70" t="s">
        <v>132</v>
      </c>
      <c r="C26" s="47">
        <f>IFERROR(INDIRECT("'"&amp;B26&amp;"'!C10"),"")</f>
      </c>
      <c r="D26" s="71">
        <f>IFERROR(INDIRECT("'"&amp;B26&amp;"'!T3"),"")</f>
      </c>
      <c r="E26" s="47">
        <f>IF(C26="","",C26*D26)</f>
      </c>
      <c r="F26" s="47">
        <f>IF(C26="","",SUMIFS(Aportes[USD],Aportes[Mes],B26))</f>
      </c>
      <c r="G26" s="72">
        <f>IF(OR(C26="",C26=0),"",F26/C26)</f>
      </c>
      <c r="I26" s="50"/>
      <c r="J26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26" s="45"/>
      <c r="L26" s="47"/>
      <c r="M26" s="46"/>
      <c r="N26" s="48">
        <f>IF(Aportes[[#This Row],[Monto]]="","",IF(Aportes[[#This Row],[Moneda]]="USD",Aportes[[#This Row],[Monto]],Aportes[[#This Row],[Monto]]/IFERROR(INDIRECT("'"&amp;Aportes[[#This Row],[Mes]]&amp;"'!T3"),Config!$C$4)))</f>
      </c>
      <c r="O26" s="49">
        <f>IF(Aportes[[#This Row],[USD]]="","",Aportes[[#This Row],[USD]]*IFERROR(INDIRECT("'"&amp;Aportes[[#This Row],[Mes]]&amp;"'!T3"),Config!$C$4))</f>
      </c>
    </row>
    <row r="27" s="1" customFormat="1">
      <c r="B27" s="70" t="s">
        <v>133</v>
      </c>
      <c r="C27" s="47">
        <f>IFERROR(INDIRECT("'"&amp;B27&amp;"'!C10"),"")</f>
      </c>
      <c r="D27" s="71">
        <f>IFERROR(INDIRECT("'"&amp;B27&amp;"'!T3"),"")</f>
      </c>
      <c r="E27" s="47">
        <f>IF(C27="","",C27*D27)</f>
      </c>
      <c r="F27" s="47">
        <f>IF(C27="","",SUMIFS(Aportes[USD],Aportes[Mes],B27))</f>
      </c>
      <c r="G27" s="72">
        <f>IF(OR(C27="",C27=0),"",F27/C27)</f>
      </c>
      <c r="I27" s="50"/>
      <c r="J27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27" s="45"/>
      <c r="L27" s="47"/>
      <c r="M27" s="46"/>
      <c r="N27" s="48">
        <f>IF(Aportes[[#This Row],[Monto]]="","",IF(Aportes[[#This Row],[Moneda]]="USD",Aportes[[#This Row],[Monto]],Aportes[[#This Row],[Monto]]/IFERROR(INDIRECT("'"&amp;Aportes[[#This Row],[Mes]]&amp;"'!T3"),Config!$C$4)))</f>
      </c>
      <c r="O27" s="49">
        <f>IF(Aportes[[#This Row],[USD]]="","",Aportes[[#This Row],[USD]]*IFERROR(INDIRECT("'"&amp;Aportes[[#This Row],[Mes]]&amp;"'!T3"),Config!$C$4))</f>
      </c>
    </row>
    <row r="28" s="1" customFormat="1">
      <c r="B28" s="70" t="s">
        <v>134</v>
      </c>
      <c r="C28" s="47">
        <f>IFERROR(INDIRECT("'"&amp;B28&amp;"'!C10"),"")</f>
      </c>
      <c r="D28" s="71">
        <f>IFERROR(INDIRECT("'"&amp;B28&amp;"'!T3"),"")</f>
      </c>
      <c r="E28" s="47">
        <f>IF(C28="","",C28*D28)</f>
      </c>
      <c r="F28" s="47">
        <f>IF(C28="","",SUMIFS(Aportes[USD],Aportes[Mes],B28))</f>
      </c>
      <c r="G28" s="72">
        <f>IF(OR(C28="",C28=0),"",F28/C28)</f>
      </c>
      <c r="I28" s="50"/>
      <c r="J28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28" s="45"/>
      <c r="L28" s="47"/>
      <c r="M28" s="46"/>
      <c r="N28" s="48">
        <f>IF(Aportes[[#This Row],[Monto]]="","",IF(Aportes[[#This Row],[Moneda]]="USD",Aportes[[#This Row],[Monto]],Aportes[[#This Row],[Monto]]/IFERROR(INDIRECT("'"&amp;Aportes[[#This Row],[Mes]]&amp;"'!T3"),Config!$C$4)))</f>
      </c>
      <c r="O28" s="49">
        <f>IF(Aportes[[#This Row],[USD]]="","",Aportes[[#This Row],[USD]]*IFERROR(INDIRECT("'"&amp;Aportes[[#This Row],[Mes]]&amp;"'!T3"),Config!$C$4))</f>
      </c>
    </row>
    <row r="29" s="1" customFormat="1">
      <c r="B29" s="70" t="s">
        <v>135</v>
      </c>
      <c r="C29" s="47">
        <f>IFERROR(INDIRECT("'"&amp;B29&amp;"'!C10"),"")</f>
      </c>
      <c r="D29" s="71">
        <f>IFERROR(INDIRECT("'"&amp;B29&amp;"'!T3"),"")</f>
      </c>
      <c r="E29" s="47">
        <f>IF(C29="","",C29*D29)</f>
      </c>
      <c r="F29" s="47">
        <f>IF(C29="","",SUMIFS(Aportes[USD],Aportes[Mes],B29))</f>
      </c>
      <c r="G29" s="72">
        <f>IF(OR(C29="",C29=0),"",F29/C29)</f>
      </c>
      <c r="I29" s="50"/>
      <c r="J29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29" s="45"/>
      <c r="L29" s="47"/>
      <c r="M29" s="46"/>
      <c r="N29" s="48">
        <f>IF(Aportes[[#This Row],[Monto]]="","",IF(Aportes[[#This Row],[Moneda]]="USD",Aportes[[#This Row],[Monto]],Aportes[[#This Row],[Monto]]/IFERROR(INDIRECT("'"&amp;Aportes[[#This Row],[Mes]]&amp;"'!T3"),Config!$C$4)))</f>
      </c>
      <c r="O29" s="49">
        <f>IF(Aportes[[#This Row],[USD]]="","",Aportes[[#This Row],[USD]]*IFERROR(INDIRECT("'"&amp;Aportes[[#This Row],[Mes]]&amp;"'!T3"),Config!$C$4))</f>
      </c>
    </row>
    <row r="30" s="1" customFormat="1">
      <c r="B30" s="70" t="s">
        <v>136</v>
      </c>
      <c r="C30" s="47">
        <f>IFERROR(INDIRECT("'"&amp;B30&amp;"'!C10"),"")</f>
      </c>
      <c r="D30" s="71">
        <f>IFERROR(INDIRECT("'"&amp;B30&amp;"'!T3"),"")</f>
      </c>
      <c r="E30" s="47">
        <f>IF(C30="","",C30*D30)</f>
      </c>
      <c r="F30" s="47">
        <f>IF(C30="","",SUMIFS(Aportes[USD],Aportes[Mes],B30))</f>
      </c>
      <c r="G30" s="72">
        <f>IF(OR(C30="",C30=0),"",F30/C30)</f>
      </c>
      <c r="I30" s="50"/>
      <c r="J30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30" s="45"/>
      <c r="L30" s="47"/>
      <c r="M30" s="46"/>
      <c r="N30" s="48">
        <f>IF(Aportes[[#This Row],[Monto]]="","",IF(Aportes[[#This Row],[Moneda]]="USD",Aportes[[#This Row],[Monto]],Aportes[[#This Row],[Monto]]/IFERROR(INDIRECT("'"&amp;Aportes[[#This Row],[Mes]]&amp;"'!T3"),Config!$C$4)))</f>
      </c>
      <c r="O30" s="49">
        <f>IF(Aportes[[#This Row],[USD]]="","",Aportes[[#This Row],[USD]]*IFERROR(INDIRECT("'"&amp;Aportes[[#This Row],[Mes]]&amp;"'!T3"),Config!$C$4))</f>
      </c>
    </row>
    <row r="31" s="1" customFormat="1" ht="6" customHeight="1">
      <c r="B31" s="34"/>
      <c r="C31" s="35"/>
      <c r="D31" s="35"/>
      <c r="E31" s="35"/>
      <c r="F31" s="35"/>
      <c r="G31" s="36"/>
      <c r="I31" s="50"/>
      <c r="J31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31" s="45"/>
      <c r="L31" s="47"/>
      <c r="M31" s="46"/>
      <c r="N31" s="48">
        <f>IF(Aportes[[#This Row],[Monto]]="","",IF(Aportes[[#This Row],[Moneda]]="USD",Aportes[[#This Row],[Monto]],Aportes[[#This Row],[Monto]]/IFERROR(INDIRECT("'"&amp;Aportes[[#This Row],[Mes]]&amp;"'!T3"),Config!$C$4)))</f>
      </c>
      <c r="O31" s="49">
        <f>IF(Aportes[[#This Row],[USD]]="","",Aportes[[#This Row],[USD]]*IFERROR(INDIRECT("'"&amp;Aportes[[#This Row],[Mes]]&amp;"'!T3"),Config!$C$4))</f>
      </c>
    </row>
    <row r="32" s="1" customFormat="1">
      <c r="I32" s="50"/>
      <c r="J32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32" s="45"/>
      <c r="L32" s="47"/>
      <c r="M32" s="46"/>
      <c r="N32" s="48">
        <f>IF(Aportes[[#This Row],[Monto]]="","",IF(Aportes[[#This Row],[Moneda]]="USD",Aportes[[#This Row],[Monto]],Aportes[[#This Row],[Monto]]/IFERROR(INDIRECT("'"&amp;Aportes[[#This Row],[Mes]]&amp;"'!T3"),Config!$C$4)))</f>
      </c>
      <c r="O32" s="49">
        <f>IF(Aportes[[#This Row],[USD]]="","",Aportes[[#This Row],[USD]]*IFERROR(INDIRECT("'"&amp;Aportes[[#This Row],[Mes]]&amp;"'!T3"),Config!$C$4))</f>
      </c>
    </row>
    <row r="33" s="1" customFormat="1">
      <c r="I33" s="50"/>
      <c r="J33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33" s="45"/>
      <c r="L33" s="47"/>
      <c r="M33" s="46"/>
      <c r="N33" s="48">
        <f>IF(Aportes[[#This Row],[Monto]]="","",IF(Aportes[[#This Row],[Moneda]]="USD",Aportes[[#This Row],[Monto]],Aportes[[#This Row],[Monto]]/IFERROR(INDIRECT("'"&amp;Aportes[[#This Row],[Mes]]&amp;"'!T3"),Config!$C$4)))</f>
      </c>
      <c r="O33" s="49">
        <f>IF(Aportes[[#This Row],[USD]]="","",Aportes[[#This Row],[USD]]*IFERROR(INDIRECT("'"&amp;Aportes[[#This Row],[Mes]]&amp;"'!T3"),Config!$C$4))</f>
      </c>
    </row>
  </sheetData>
  <mergeCells count="21">
    <mergeCell ref="C4:E4"/>
    <mergeCell ref="C3:E3"/>
    <mergeCell ref="F4:H4"/>
    <mergeCell ref="I4:J4"/>
    <mergeCell ref="K4:M4"/>
    <mergeCell ref="N4:O4"/>
    <mergeCell ref="B8:D8"/>
    <mergeCell ref="B9:D9"/>
    <mergeCell ref="B11:D11"/>
    <mergeCell ref="E8:G8"/>
    <mergeCell ref="E9:G9"/>
    <mergeCell ref="E11:G11"/>
    <mergeCell ref="L6:O6"/>
    <mergeCell ref="I7:O7"/>
    <mergeCell ref="I8:K8"/>
    <mergeCell ref="L8:O8"/>
    <mergeCell ref="I10:O10"/>
    <mergeCell ref="I11:K11"/>
    <mergeCell ref="L11:O11"/>
    <mergeCell ref="N12:O12"/>
    <mergeCell ref="L14:O14"/>
  </mergeCells>
  <conditionalFormatting sqref="K4">
    <cfRule type="cellIs" dxfId="0" priority="1" operator="lessThan">
      <formula>0</formula>
    </cfRule>
  </conditionalFormatting>
  <conditionalFormatting sqref="I10:O10">
    <cfRule type="dataBar" priority="2">
      <dataBar showValue="0">
        <cfvo type="num" val="0"/>
        <cfvo type="num" val="1"/>
        <color rgb="FF2F7D52"/>
      </dataBar>
    </cfRule>
  </conditionalFormatting>
  <dataValidations count="2">
    <dataValidation type="list" allowBlank="1" showErrorMessage="1" sqref="K16:K2000">
      <formula1>Config!$G$4:$G$6</formula1>
    </dataValidation>
    <dataValidation type="list" allowBlank="1" showErrorMessage="1" sqref="M16:M2000">
      <formula1>"USD,DOP"</formula1>
    </dataValidation>
  </dataValidations>
  <pageMargins left="0.5" right="0.5" top="0.5" bottom="0.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9ABA3"/>
  </sheetPr>
  <sheetViews>
    <sheetView workbookViewId="0" showGridLines="0" zoomScale="100"/>
  </sheetViews>
  <sheetFormatPr defaultRowHeight="20" customHeight="1"/>
  <cols>
    <col min="1" max="1" width="2" style="1" customWidth="1"/>
    <col min="2" max="2" width="34" style="1" customWidth="1"/>
    <col min="3" max="3" width="14" style="1" customWidth="1"/>
    <col min="4" max="4" width="3" style="1" customWidth="1"/>
    <col min="5" max="5" width="18" style="1" customWidth="1"/>
    <col min="6" max="6" width="16" style="1" customWidth="1"/>
    <col min="7" max="7" width="22" style="1" customWidth="1"/>
    <col min="8" max="60" width="9" style="1"/>
  </cols>
  <sheetData>
    <row r="1" s="1" customFormat="1" ht="26" customHeight="1">
      <c r="A1" s="2"/>
      <c r="B1" s="3" t="s">
        <v>137</v>
      </c>
      <c r="C1" s="2"/>
      <c r="D1" s="2"/>
      <c r="E1" s="2"/>
      <c r="F1" s="2"/>
      <c r="G1" s="2"/>
    </row>
    <row r="3" s="1" customFormat="1">
      <c r="B3" s="9" t="s">
        <v>138</v>
      </c>
      <c r="C3" s="11"/>
      <c r="E3" s="9" t="s">
        <v>139</v>
      </c>
      <c r="F3" s="13" t="s">
        <v>140</v>
      </c>
      <c r="G3" s="73" t="s">
        <v>141</v>
      </c>
    </row>
    <row r="4" s="1" customFormat="1">
      <c r="B4" s="17" t="s">
        <v>142</v>
      </c>
      <c r="C4" s="74">
        <v>58.76</v>
      </c>
      <c r="E4" s="21" t="s">
        <v>32</v>
      </c>
      <c r="F4" s="22" t="s">
        <v>66</v>
      </c>
      <c r="G4" s="24" t="s">
        <v>110</v>
      </c>
    </row>
    <row r="5" s="1" customFormat="1">
      <c r="B5" s="17" t="s">
        <v>143</v>
      </c>
      <c r="C5" s="75" t="s">
        <v>98</v>
      </c>
      <c r="E5" s="21" t="s">
        <v>34</v>
      </c>
      <c r="F5" s="22" t="s">
        <v>80</v>
      </c>
      <c r="G5" s="24" t="s">
        <v>111</v>
      </c>
    </row>
    <row r="6" s="1" customFormat="1">
      <c r="B6" s="34"/>
      <c r="C6" s="36"/>
      <c r="E6" s="21" t="s">
        <v>36</v>
      </c>
      <c r="F6" s="22" t="s">
        <v>74</v>
      </c>
      <c r="G6" s="24" t="s">
        <v>112</v>
      </c>
    </row>
    <row r="7" s="1" customFormat="1">
      <c r="E7" s="21" t="s">
        <v>38</v>
      </c>
      <c r="F7" s="15"/>
      <c r="G7" s="16"/>
    </row>
    <row r="8" s="1" customFormat="1">
      <c r="E8" s="21" t="s">
        <v>40</v>
      </c>
      <c r="F8" s="15"/>
      <c r="G8" s="16"/>
    </row>
    <row r="9" s="1" customFormat="1">
      <c r="E9" s="21" t="s">
        <v>42</v>
      </c>
      <c r="F9" s="15"/>
      <c r="G9" s="16"/>
    </row>
    <row r="10" s="1" customFormat="1">
      <c r="E10" s="21" t="s">
        <v>44</v>
      </c>
      <c r="F10" s="15"/>
      <c r="G10" s="16"/>
    </row>
    <row r="11" s="1" customFormat="1">
      <c r="E11" s="21" t="s">
        <v>46</v>
      </c>
      <c r="F11" s="15"/>
      <c r="G11" s="16"/>
    </row>
    <row r="12" s="1" customFormat="1">
      <c r="E12" s="21" t="s">
        <v>48</v>
      </c>
      <c r="F12" s="15"/>
      <c r="G12" s="16"/>
    </row>
    <row r="13" s="1" customFormat="1">
      <c r="E13" s="21" t="s">
        <v>50</v>
      </c>
      <c r="F13" s="15"/>
      <c r="G13" s="16"/>
    </row>
    <row r="14" s="1" customFormat="1">
      <c r="E14" s="34"/>
      <c r="F14" s="35"/>
      <c r="G14" s="36"/>
    </row>
  </sheetData>
  <pageMargins left="0.5" right="0.5" top="0.5" bottom="0.5" header="0.3" footer="0.3"/>
</worksheet>
</file>